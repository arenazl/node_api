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f9ad619da8752345/Documentos/Servicios para SIM/"/>
    </mc:Choice>
  </mc:AlternateContent>
  <xr:revisionPtr revIDLastSave="0" documentId="8_{0D691155-B904-41D9-B009-9CD1AC276F9A}" xr6:coauthVersionLast="47" xr6:coauthVersionMax="47" xr10:uidLastSave="{00000000-0000-0000-0000-000000000000}"/>
  <bookViews>
    <workbookView xWindow="5025" yWindow="2550" windowWidth="19365" windowHeight="11055" activeTab="1" xr2:uid="{0D20046E-AAC0-4790-A205-6406A2B64A83}"/>
  </bookViews>
  <sheets>
    <sheet name="Cabecera Servicios" sheetId="1" r:id="rId1"/>
    <sheet name="1004" sheetId="3" r:id="rId2"/>
    <sheet name="Ejemplo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8" i="3" l="1"/>
  <c r="C9" i="3"/>
  <c r="C4" i="3"/>
  <c r="C4" i="1"/>
</calcChain>
</file>

<file path=xl/sharedStrings.xml><?xml version="1.0" encoding="utf-8"?>
<sst xmlns="http://schemas.openxmlformats.org/spreadsheetml/2006/main" count="881" uniqueCount="333">
  <si>
    <t>*</t>
  </si>
  <si>
    <t>AREA GENERAL PARA LLAMADA DE SERVICIOS</t>
  </si>
  <si>
    <t>Descripcion del campo a informa</t>
  </si>
  <si>
    <t>Tipo de Datos</t>
  </si>
  <si>
    <t>numerico</t>
  </si>
  <si>
    <t>alfanumerico</t>
  </si>
  <si>
    <t>OBLIGATORIO</t>
  </si>
  <si>
    <t>obligatorio   /opcional</t>
  </si>
  <si>
    <t>NRO DE MENSAJE QUE IDENTIFICA AL REQUERIMIENTO</t>
  </si>
  <si>
    <t xml:space="preserve">FECHA DEL DÍA </t>
  </si>
  <si>
    <t>HORA</t>
  </si>
  <si>
    <t>USUARIO LOGGEADO A LA APLICACIÓN</t>
  </si>
  <si>
    <t>SUCURSAL DONDE SE REALIZA EL REQUERIMIENTO</t>
  </si>
  <si>
    <t>TEXTO DE ERROR (EN RESPUESTA)</t>
  </si>
  <si>
    <t>CÓDIGO DE ERROR (EN RESPUESTA)</t>
  </si>
  <si>
    <t>MENSAJE DE ESTADO DEL REQUERIMIENTO</t>
  </si>
  <si>
    <t>NO SE INFORMA</t>
  </si>
  <si>
    <t>ESPACIOS</t>
  </si>
  <si>
    <t>CEROS</t>
  </si>
  <si>
    <t>VALOR</t>
  </si>
  <si>
    <t>CABECERA DE SERVICIOS</t>
  </si>
  <si>
    <t>LONGITUD DEL MENSAJE</t>
  </si>
  <si>
    <t>CANAL</t>
  </si>
  <si>
    <t>SERVICIO</t>
  </si>
  <si>
    <t>CÓDIGO DE RETORNO</t>
  </si>
  <si>
    <t>ID DEL MENSAJE</t>
  </si>
  <si>
    <t>FECHA</t>
  </si>
  <si>
    <t>USUARIO</t>
  </si>
  <si>
    <t>Ubicación</t>
  </si>
  <si>
    <t>TEXTO DEL CÓDIGO DE RETORNO</t>
  </si>
  <si>
    <t xml:space="preserve">ESTADO ENVIADO </t>
  </si>
  <si>
    <t>CAMPO COMPLEMENTARIO</t>
  </si>
  <si>
    <t>LONGITUD TOTAL DEL MENSAJE ENVIADO / RECIBIDO</t>
  </si>
  <si>
    <t>PREFIJO DEL CANAL</t>
  </si>
  <si>
    <t>NUMERO DE SERVICIO</t>
  </si>
  <si>
    <t>REQUERIMIENTO</t>
  </si>
  <si>
    <t>RESPUESTA</t>
  </si>
  <si>
    <t>VALORES</t>
  </si>
  <si>
    <t>Longitud del CAMPO</t>
  </si>
  <si>
    <t>MAXIMA LONGITUD DE DATOS PERMITIDA</t>
  </si>
  <si>
    <t>DATOS ENVIADOS / RECIBIDOS                       (ver en cada solapa según el SERVICIO a solicitar)</t>
  </si>
  <si>
    <t>NUMERO INTERNO DE PERSONA</t>
  </si>
  <si>
    <t>SERVICIO 1004 - CONSULTA DE UN CLIENTE POR NUMERO INTERNO DE PERSONA</t>
  </si>
  <si>
    <t>6 OCURRENCIAS INFORMADAS</t>
  </si>
  <si>
    <t>FIN OCURRENCIA</t>
  </si>
  <si>
    <t>DIRECCION ELECTRONICA URL(V3002DE)</t>
  </si>
  <si>
    <t>SVC1004-NIP</t>
  </si>
  <si>
    <t>SVC1004-TIP-PEDIDO</t>
  </si>
  <si>
    <t>SVC1004-ESTADO</t>
  </si>
  <si>
    <t>SVC1004-N-ITN-PERS</t>
  </si>
  <si>
    <t>SVC1004-TIPO-NIF</t>
  </si>
  <si>
    <t>SVC1004-NIF</t>
  </si>
  <si>
    <t>SVC1004-C-DOCUM-ID</t>
  </si>
  <si>
    <t>SVC1004-N-DOCUM-ID</t>
  </si>
  <si>
    <t>SVC1004-C-DU-DO-ID</t>
  </si>
  <si>
    <t>SVC1004-S-DU-DO-ID</t>
  </si>
  <si>
    <t>SVC1004-NOMDS-PERS</t>
  </si>
  <si>
    <t>SVC1004-SUBNO-PERS</t>
  </si>
  <si>
    <t>SVC1004-F-CO-CL-GR</t>
  </si>
  <si>
    <t>SVC1004-F-FI-CL-GR</t>
  </si>
  <si>
    <t>SVC1004-CNAE</t>
  </si>
  <si>
    <t>SVC1004-SECTOR-PER</t>
  </si>
  <si>
    <t>SVC1004-CL-SUJETO</t>
  </si>
  <si>
    <t>SVC1004-TIPO-PERS</t>
  </si>
  <si>
    <t>SVC1004-TIPO-ENT</t>
  </si>
  <si>
    <t>SVC1004-TRATAMIENT</t>
  </si>
  <si>
    <t>SVC1004-COD-IDIOMA</t>
  </si>
  <si>
    <t>SVC1004-F-ULT-P-ANSES</t>
  </si>
  <si>
    <t>SVC1004-F-VTOSOCIE</t>
  </si>
  <si>
    <t>SVC1004-N-ITN-TENA</t>
  </si>
  <si>
    <t>SVC1004-C-NIV-CONP</t>
  </si>
  <si>
    <t>SVC1004-C-NIV-CONI</t>
  </si>
  <si>
    <t>SVC1004-CAN-REG-OR</t>
  </si>
  <si>
    <t>SVC1004-F-ALTA</t>
  </si>
  <si>
    <t>SVC1004-CO-OR-IN-P</t>
  </si>
  <si>
    <t>SVC1004-F-ACTZ</t>
  </si>
  <si>
    <t>SVC1004-C-BCO-GRRE</t>
  </si>
  <si>
    <t>SVC1004-C-OF-GRRES</t>
  </si>
  <si>
    <t>SVC1004-PR-TELEFON</t>
  </si>
  <si>
    <t>SVC1004-N-TELEFONO</t>
  </si>
  <si>
    <t>SVC1004-C-COLEC-IN</t>
  </si>
  <si>
    <t>SVC1004-DET-PERCIR</t>
  </si>
  <si>
    <t>SVC1004-DET-PERJUD</t>
  </si>
  <si>
    <t>SVC1004-DET-PERCIA</t>
  </si>
  <si>
    <t>SVC1004-DET-PERRAI</t>
  </si>
  <si>
    <t>SVC1004-DET-PERAVI</t>
  </si>
  <si>
    <t>SVC1004-DET-PEREMB</t>
  </si>
  <si>
    <t>SVC1004-DET-PERINC</t>
  </si>
  <si>
    <t>SVC1004-DET-PERRGO</t>
  </si>
  <si>
    <t>SVC1004-DET-PERMOR</t>
  </si>
  <si>
    <t>SVC1004-DET-PERFAL</t>
  </si>
  <si>
    <t>SVC1004-DET-PERALE</t>
  </si>
  <si>
    <t>SVC1004-T-DIR-ELEC</t>
  </si>
  <si>
    <t>SVC1004-PR-TELEFONICO</t>
  </si>
  <si>
    <t>SVC1004-N-TELEFONICO</t>
  </si>
  <si>
    <t>SVC1004-SUF-TELEFONICO</t>
  </si>
  <si>
    <t>SVC1004-DIR-DE-URL</t>
  </si>
  <si>
    <t>SVC1004-CLAVE-RESIDE</t>
  </si>
  <si>
    <t>SVC1004-C-SIT-JUPE</t>
  </si>
  <si>
    <t>SVC1004-IN-AFIJOTE</t>
  </si>
  <si>
    <t>SVC1004-IN-OTDIREL</t>
  </si>
  <si>
    <t>SVC1004-IN-OTRIDPE</t>
  </si>
  <si>
    <t>SVC1004-C-GESDATPE</t>
  </si>
  <si>
    <t>SVC1004-C-TRTINFPE</t>
  </si>
  <si>
    <t>SVC1004-CANT-TIMES-IMPU</t>
  </si>
  <si>
    <t>SVC1004-N-ITN-IMPU</t>
  </si>
  <si>
    <t>SVC1004-C-SIT-RFIS</t>
  </si>
  <si>
    <t>SVC1004-TPC-APLIMP</t>
  </si>
  <si>
    <t>SVC1004-PF-A-F-NACIMI</t>
  </si>
  <si>
    <t>SVC1004-PF-M-F-NACIMI</t>
  </si>
  <si>
    <t>SVC1004-PF-D-F-NACIMI</t>
  </si>
  <si>
    <t>SVC1004-PF-A-F-FALLEC</t>
  </si>
  <si>
    <t>SVC1004-PF-M-F-FALLEC</t>
  </si>
  <si>
    <t>SVC1004-PF-D-F-FALLEC</t>
  </si>
  <si>
    <t>SVC1004-PF-N-ITN-PL-N</t>
  </si>
  <si>
    <t>SVC1004-PF-SEXO</t>
  </si>
  <si>
    <t>SVC1004-PF-ESTA-CIVIL</t>
  </si>
  <si>
    <t>SVC1004-PF-NIVEL-ESTU</t>
  </si>
  <si>
    <t>SVC1004-PF-NUM-HIJOS</t>
  </si>
  <si>
    <t>SVC1004-PF-CNO</t>
  </si>
  <si>
    <t>SVC1004-PF-PROFESION</t>
  </si>
  <si>
    <t>SVC1004-PF-N-CLA-FPIN</t>
  </si>
  <si>
    <t>SVC1004-PF-PIN</t>
  </si>
  <si>
    <t>SVC1004-PF-F-ACTZ</t>
  </si>
  <si>
    <t>SVC1004-PF-C-ACTDATPE</t>
  </si>
  <si>
    <t>SVC1004-PF-C-SEGMENTO</t>
  </si>
  <si>
    <t>SVC1004-PJ-F-DISOLUC</t>
  </si>
  <si>
    <t>SVC1004-PJ-TPC-PAR-EX</t>
  </si>
  <si>
    <t>SVC1004-PJ-F-ACTZ</t>
  </si>
  <si>
    <t>SVC1004-N-ITN-DIRE</t>
  </si>
  <si>
    <t>SVC1004-TIPO-DOM</t>
  </si>
  <si>
    <t>SVC1004-F-ALTA-D</t>
  </si>
  <si>
    <t>SVC1004-TI-VIA-PUB</t>
  </si>
  <si>
    <t>SVC1004-NO-VIA-PUB</t>
  </si>
  <si>
    <t>SVC1004-NU-VIA-PUB</t>
  </si>
  <si>
    <t>SVC1004-NU-VIA-P-H</t>
  </si>
  <si>
    <t>SVC1004-AC-VIA-PUB</t>
  </si>
  <si>
    <t>SVC1004-PO-VIA-PUB</t>
  </si>
  <si>
    <t>SVC1004-BL-VIA-PUB</t>
  </si>
  <si>
    <t>SVC1004-ES-VIA-PUB</t>
  </si>
  <si>
    <t>SVC1004-PLANTA-EDI</t>
  </si>
  <si>
    <t>SVC1004-IND-PUE-PL</t>
  </si>
  <si>
    <t>SVC1004-PARCELA</t>
  </si>
  <si>
    <t>SVC1004-TI-ZONA-UR</t>
  </si>
  <si>
    <t>SVC1004-NO-ZONA-UR</t>
  </si>
  <si>
    <t>SVC1004-NOM-PL</t>
  </si>
  <si>
    <t>SVC1004-N-ITN-TERR</t>
  </si>
  <si>
    <t>SVC1004-IN-CAP-PR</t>
  </si>
  <si>
    <t>SVC1004-N-ITN-PL</t>
  </si>
  <si>
    <t>SVC1004-COD-POSTAL</t>
  </si>
  <si>
    <t>SVC1004-MO-EX-DIR</t>
  </si>
  <si>
    <t>SVC1004-F-FIN-VIG</t>
  </si>
  <si>
    <t>SVC1004-C-LOC-DIRE</t>
  </si>
  <si>
    <t>SVC1004-CO-SI-CO-D</t>
  </si>
  <si>
    <t>SVC1004-N-ITN-VI-P</t>
  </si>
  <si>
    <t>SVC1004-CAN-REG-OR-D</t>
  </si>
  <si>
    <t>SVC1004-DET-DIRELA</t>
  </si>
  <si>
    <t>SVC1004-DET-DIINTE</t>
  </si>
  <si>
    <t>SVC1004-DET-DIOFFI</t>
  </si>
  <si>
    <t>SVC1004-DET-DIOFGR</t>
  </si>
  <si>
    <t>SVC1004-DET-DIBPER</t>
  </si>
  <si>
    <t>SVC1004-DET-DICONT</t>
  </si>
  <si>
    <t>SVC1004-N-ITN-PERS-D</t>
  </si>
  <si>
    <t>SVC1004-C-SER-CORR</t>
  </si>
  <si>
    <t>SVC1004-C-MODADSER</t>
  </si>
  <si>
    <t>SVC1004-F-COMI-VIG</t>
  </si>
  <si>
    <t>SVC1004-F-ALTA-PRR</t>
  </si>
  <si>
    <t>SVC1004-F-ALTA-BD</t>
  </si>
  <si>
    <t>SVC1004-COD-IDIOMA-D</t>
  </si>
  <si>
    <t>SVC1004-DE-PR-TELEFON</t>
  </si>
  <si>
    <t>SVC1004-DE-N-TELEFONO</t>
  </si>
  <si>
    <t>SVC1004-DE-PR-CELULAR</t>
  </si>
  <si>
    <t>SVC1004-DE-N-CELULAR</t>
  </si>
  <si>
    <t>SVC1004-DE-DIR-DE-URL</t>
  </si>
  <si>
    <t>AÑO DE FECHA DE NACIMIENTO(V1002PF0)</t>
  </si>
  <si>
    <t>MES DE FECHA DE NACIMIENTO(V1002PF0)</t>
  </si>
  <si>
    <t>DIA DE FECHA DE NACIMIENTO(v1002PF0)</t>
  </si>
  <si>
    <t>AÑO DE FECHA DE FALLECIMIENTO(v1002PF0)</t>
  </si>
  <si>
    <t>MES DE FECHA DE FALLECIMIENTO(v1002PF0)</t>
  </si>
  <si>
    <t>DIA DE FECHA DE FALLECIMIENTO(v1002PF0)</t>
  </si>
  <si>
    <t>PLAZA DE NACIMIENTO(v1002PF0)</t>
  </si>
  <si>
    <t>SEXO PERSONA FISICA (v1002PF0)</t>
  </si>
  <si>
    <t>E. CIVIL DE PERSONA FISICA(v1002PF0)</t>
  </si>
  <si>
    <t>NIVEL ESTUDIOS DE LA PERSONA(v1002PF0)</t>
  </si>
  <si>
    <t>NUMERO DE HIJOS(v1002PF0)</t>
  </si>
  <si>
    <t>CODIGO NACIONAL DE OCUPACION (v1002PF0)</t>
  </si>
  <si>
    <t>PROFESION DE LA PERSONA FISICA(v1002PF0)</t>
  </si>
  <si>
    <t>NUMERO DE TABLA FDE CLAVES PIN(v1002PF0)</t>
  </si>
  <si>
    <t>NUMERO IDENTIFICACION PERSONAL (v1002PF0)</t>
  </si>
  <si>
    <t>FECHA ULTIMA ACT. DE LA FILA(v1002PF0)</t>
  </si>
  <si>
    <t>CODIGO ACTUACION DATOS PERSONA(v1002PF0)</t>
  </si>
  <si>
    <t>CODIGO SEGMENTO(v1002PF0)</t>
  </si>
  <si>
    <t>SVC1004-PJ-F-CONSTITU</t>
  </si>
  <si>
    <t>SVC1004-PJ-F-COM-OPER</t>
  </si>
  <si>
    <t>FECHA CONSTITUCION PERSONA JURIDICA(V1003PJ0)</t>
  </si>
  <si>
    <t>FECHA COMIENZO OPERACIONES PERS.JURIDICA(V1003PJ0)</t>
  </si>
  <si>
    <t>FECHA DISOLUCION SOCIEDAD(V1003PJ0)</t>
  </si>
  <si>
    <t>PORC. PART. CAPITAL EXTRANJERO (V1003PJ0)</t>
  </si>
  <si>
    <t>ULTIMA FECHA DE ACTUALIZACION(V1003PJ0)</t>
  </si>
  <si>
    <t>NUM DE CADA DIRECCION CENSADAV3001DI0)</t>
  </si>
  <si>
    <t>TIPO DOMICILIO PERSONA(V1001030)</t>
  </si>
  <si>
    <t>FECHA INCORPORACION A LA B.D.(V3001DI0)</t>
  </si>
  <si>
    <t>TIPO DE LA VIA PUBLICA(V3001DI0)</t>
  </si>
  <si>
    <t>NOMBRE DE LA VIA PUBLICA (V3001DI0)</t>
  </si>
  <si>
    <t>NUM DE CADA PUNTO DE LA V.P.(V3001DI0)</t>
  </si>
  <si>
    <t>NUMERO FINAL DE VIA(V3001DI0)</t>
  </si>
  <si>
    <t>COMPLEMENTOS EN NUMERO O LETRA(V3001DI0)</t>
  </si>
  <si>
    <t>NUMERO O LETRA DEL PORTAL(V3001DI0)</t>
  </si>
  <si>
    <t>NUMERO DE BLOQUE (V3001DI0)</t>
  </si>
  <si>
    <t>LETRA O NUMERO DE ESCALERA(V3001di0)</t>
  </si>
  <si>
    <t>NUMERO O NOMBRE DE LA PLANTA (v3001di0)</t>
  </si>
  <si>
    <t>NUMERO O LETRA DE PLANTA (V3001DI0)</t>
  </si>
  <si>
    <t>NOMBRE O NUMERO DE PARCELA (V3001DI0)</t>
  </si>
  <si>
    <t>TIPO ZONA URBANA(V3001DI0)</t>
  </si>
  <si>
    <t>NOMBRE ZONA URBANA(V3001DI0)</t>
  </si>
  <si>
    <t>NOMBRE DE LA PLAZA EN ESPAÑOL(V3001DI0)</t>
  </si>
  <si>
    <t>NUMERO DE CADA TERRITORIO(V3001DI0)</t>
  </si>
  <si>
    <t>INDICADOR DE CAP. PROVINCIA(V3001DI0)</t>
  </si>
  <si>
    <t>NUM INT DE CADA PLAZA(V3001DI0)</t>
  </si>
  <si>
    <t>CODIGO DE ORGANISMOS POSTALES(V3001DI0)</t>
  </si>
  <si>
    <t>FORMA DE EXPR. DE LA DIRECCION(V3001DI0)</t>
  </si>
  <si>
    <t>FECHA FIN VALIDEZ OCURRENCIA(V3001DI0)</t>
  </si>
  <si>
    <t>CODIFICACION DE UNA DIRECCION(V3001DI0)</t>
  </si>
  <si>
    <t>ESTADO DE UNA DIRECCION(V3001DI0)</t>
  </si>
  <si>
    <t>NUMERO ASIGNADO A VIA PUBLICA(V3001DI0)</t>
  </si>
  <si>
    <t>CANTIDAD REGISTROS ORIGEN(V3001DI0)</t>
  </si>
  <si>
    <t>DETECTOR DIRECCION RELACIONADA (V3001DI0)</t>
  </si>
  <si>
    <t>DETECTOR DIRECCION DOMICILIO(V3001DI0)</t>
  </si>
  <si>
    <t>DETECTOR DIRECCION OFICINA(V3001DI0)</t>
  </si>
  <si>
    <t>DETECTOR DIRECCION OF GRUPO(V3001DI0)</t>
  </si>
  <si>
    <t>DETECTOR DIREC. BIEN PERSONAL(V3001DI0)</t>
  </si>
  <si>
    <t>DETECTOR FINCAS GARANTIAS(V3001DI0)</t>
  </si>
  <si>
    <t>CODIGO OPER.SERV.CORRESPONDENC(V1711CE0)</t>
  </si>
  <si>
    <t>CODIGO MODALIDAD OPER. SERVICI (V1711CE0)</t>
  </si>
  <si>
    <t>FECHA COMIENZO VIGENCIA(V1711CE0)</t>
  </si>
  <si>
    <t>FECHA ALTA PROPAGADA RELACIONA(V1711CE0)</t>
  </si>
  <si>
    <t>FECHA ALTA OCURRENCIA(V1711CE0)</t>
  </si>
  <si>
    <t>CODIGO IDIOMA(V1711CE0)</t>
  </si>
  <si>
    <t>PREFIJO DIRECCION ELECTRONICA (V3002DE0)</t>
  </si>
  <si>
    <t>NUMERO DIRECCION ELECTRONICA(T3002DE)</t>
  </si>
  <si>
    <t xml:space="preserve">CÓDIGO DE RETORNO &lt;&gt; 0 texto del mensaje          ESTADO ENVIADO &lt;&gt; 0 texto del mensaje </t>
  </si>
  <si>
    <t>SOLICITUD/RESPUESTA</t>
  </si>
  <si>
    <t>NUMERO INTERNO PERSONA  ( T1001PE- PERSONAS )</t>
  </si>
  <si>
    <t>TIPO DE NIF REGISTRADO ( T1001PE- PERSONAS )</t>
  </si>
  <si>
    <t>NUMERO IDENTIFICACION FISCAL ( T1001PE- PERSONAS )</t>
  </si>
  <si>
    <t>CODIGO DOCUMENTO PERSONA      ( T1001PE- PERSONAS )</t>
  </si>
  <si>
    <t>NUMERO IDENTIFICACION PERSONA ( T1001PE- PERSONAS )</t>
  </si>
  <si>
    <t>CODIGO DEPURACION          ( T1001PE- PERSONAS )</t>
  </si>
  <si>
    <t>NUMERO CONTROL DEPURACION  ( T1001PE- PERSONAS )</t>
  </si>
  <si>
    <t>NOMBRE / DENOMINACION SOCIAL    ( T1001PE- PERSONAS )</t>
  </si>
  <si>
    <t>CLAVE ACCESO RAPIDO POR NOMBRE  ( T1001PE- PERSONAS )</t>
  </si>
  <si>
    <t>FECHA PRIMERA OPERACION         ( T1001PE- PERSONAS )</t>
  </si>
  <si>
    <t>FECHA BAJA CLIENTE              ( T1001PE- PERSONAS )</t>
  </si>
  <si>
    <t>CODIGO ACTIVIDAD ECONOMICA      ( T1001PE- PERSONAS )</t>
  </si>
  <si>
    <t>CLAVE PERTENENCIA PERSONA    ( T1001PE- PERSONAS )</t>
  </si>
  <si>
    <t>CLAVES CREDITOS Y ESTADO T5  ( T1001PE- PERSONAS )</t>
  </si>
  <si>
    <t>CLASIFICACION PERSONA        ( T1001PE- PERSONAS )</t>
  </si>
  <si>
    <t>TIPO ENTIDAD PERSONA JURIDICA ( T1001PE- PERSONAS )</t>
  </si>
  <si>
    <t>TRATAMIENTO / IND AFIJO       ( T1001PE- PERSONAS )</t>
  </si>
  <si>
    <t>CLAVE DEL IDIOMA              ( T1001PE- PERSONAS )</t>
  </si>
  <si>
    <t>CONFIDENCIALIDAD EN PETICION  ( T1001PE- PERSONAS )</t>
  </si>
  <si>
    <t>CONFIDENCIALIDAD EN ACCESO    ( T1001PE- PERSONAS )</t>
  </si>
  <si>
    <t>CANTIDAD REGISTROS ORIGEN     ( T1001PE- PERSONAS )</t>
  </si>
  <si>
    <t>FECHA DE INCORPORACION        ( T1001PE- PERSONAS )</t>
  </si>
  <si>
    <t>CODIGO DE ORIGEN DE LOS DATOS ( T1001PE- PERSONAS )</t>
  </si>
  <si>
    <t>ULTIMA FECHA DE ACTUALIZACION ( T1001PE- PERSONAS )</t>
  </si>
  <si>
    <t>BANCO DEL GRUPO RESPONSABLE   ( T1001PE- PERSONAS )</t>
  </si>
  <si>
    <t>OFICINA DEL GRUPO RESPONSABLE ( T1001PE- PERSONAS )</t>
  </si>
  <si>
    <t>PREFIJO TELEFONO DE CONTACTO  ( T1001PE- PERSONAS )</t>
  </si>
  <si>
    <t>TELEFONO DE CONTACTO          ( T1001PE- PERSONAS )</t>
  </si>
  <si>
    <t>COLECTIVO PRAL DE LA PERSONA  ( T1001PE- PERSONAS )</t>
  </si>
  <si>
    <t>DETECTOR CIR                 ( T1001PE- PERSONAS )</t>
  </si>
  <si>
    <t>DETECTOR PROCEDIMIENTOS      ( T1001PE- PERSONAS )</t>
  </si>
  <si>
    <t>DETECTOR INFORMES RECIBIDOS  ( T1001PE- PERSONAS )</t>
  </si>
  <si>
    <t>DETECTOR EFECTOS EN RAI      ( T1001PE- PERSONAS )</t>
  </si>
  <si>
    <t>DETECTOR AVISOS DE PERSONAS  ( T1001PE- PERSONAS )</t>
  </si>
  <si>
    <t>DETECTOR EMBARGOS CENSADOS   ( T1001PE- PERSONAS )</t>
  </si>
  <si>
    <t>DETECTOR INCUMPLIMIENTOS     ( T1001PE- PERSONAS )</t>
  </si>
  <si>
    <t>DETECTOR RIESGOS CALIFICADOS ( T1001PE- PERSONAS )</t>
  </si>
  <si>
    <t>DETECTOR ACTIVOS EN MORA     ( T1001PE- PERSONAS )</t>
  </si>
  <si>
    <t>DETECTOR RIESGOS FALLIDOS    ( T1001PE- PERSONAS )</t>
  </si>
  <si>
    <t>DETECTOR ALERTAS INTERNAS    ( T1001PE- PERSONAS )</t>
  </si>
  <si>
    <t>CODIGO SITUACION JURIDICA PERS ( T1001PE- PERSONAS )</t>
  </si>
  <si>
    <t>INDICATIVO AFIJO TIPO ENTIDAD  ( T1001PE- PERSONAS )</t>
  </si>
  <si>
    <t>INDICADOR OTRA DIR.ELEC.REGIST ( T1001PE- PERSONAS )</t>
  </si>
  <si>
    <t>INDICADOR OTRA IDENT. PERSONA  ( T1001PE- PERSONAS )</t>
  </si>
  <si>
    <t>CODIGO GESTION DATOS PERSONAL ( T1001PE- PERSONAS )</t>
  </si>
  <si>
    <t>CODIGO TRATAMIENT INF.PERSONA ( T1001PE- PERSONAS )</t>
  </si>
  <si>
    <t>NACIONALIDAD DE LA PERSONA ( T1001PE- PERSONAS )</t>
  </si>
  <si>
    <t>FECHA VENCIMIENTO SOCIEDAD  (T1003PJ  PERSONA JURIDICA )</t>
  </si>
  <si>
    <t>TIPO DIRECCION ELECTRONICA ( T3002DE  Direccion ELECTRONICA)</t>
  </si>
  <si>
    <t>PREFIJO DIRECCION ELECTRONICA ( T3002DE  Direccion ELECTRONICA)</t>
  </si>
  <si>
    <t>NUMERO DIRECCION ELECTRONICA  ( T3002DE  Direccion ELECTRONICA)</t>
  </si>
  <si>
    <t>SUFIJO DIRECCION ELECTRONICA  ( T3002DE  Direccion ELECTRONICA)</t>
  </si>
  <si>
    <t>DIRECCION ELECTRONICA URL ( T3002DE  Direccion ELECTRONICA)</t>
  </si>
  <si>
    <t>según el Sector-per : valores posibles "N" o "E"</t>
  </si>
  <si>
    <t>obligatorio</t>
  </si>
  <si>
    <r>
      <t xml:space="preserve">Estado de los registros informados.                                                              El valor de este campo, se informa </t>
    </r>
    <r>
      <rPr>
        <u/>
        <sz val="9"/>
        <rFont val="Verdana Ref"/>
        <family val="2"/>
      </rPr>
      <t>tambien</t>
    </r>
    <r>
      <rPr>
        <sz val="9"/>
        <rFont val="Verdana Ref"/>
        <family val="2"/>
      </rPr>
      <t xml:space="preserve"> en el campo "ESTADO ENVIADO" y el texto correspondiente a este código, en el campo "TEXTO DEL CÓDIGO DE RETORNO" de la "Cabecera Servicios".</t>
    </r>
  </si>
  <si>
    <t xml:space="preserve">00    CONSULTA CLIENTES SATISFACTORIA  
03    ERROR DE DB2 EN MODULO EDO5002.                
13    ERROR EN DATOS DE ACCESO - MODULO EDO5003.     
99    ERROR EN SVC0000-CODRET.                       </t>
  </si>
  <si>
    <t>opcional</t>
  </si>
  <si>
    <t xml:space="preserve">0000  Transaccion exitosa                                               8991  ERROR Validacion Header mensaje    
8992  CANAL/SERVICIO NO HABILITADO       
8993  SERVICIO NO HABILITADO POR CANAL                                     
*  8001  ERROR PARRAFO DE VALIDACION GENERAL                      
*  5000 + CODIGO RETORNO &lt;&gt; (111, 999) DEL MODULO EDO5002         
*  6000 + CODIGO RETORNO &lt;&gt; (0, 111, 100, 999) DEL MODULO EDO5003 </t>
  </si>
  <si>
    <t>1=Consulta de Cliente por NIP</t>
  </si>
  <si>
    <t>Campo Taller</t>
  </si>
  <si>
    <t>TECHNISYS</t>
  </si>
  <si>
    <t>NIP</t>
  </si>
  <si>
    <t>Tipo de Identificacion Fiscal</t>
  </si>
  <si>
    <t>Numero de Id Fiscal</t>
  </si>
  <si>
    <t>Nombre y apellido</t>
  </si>
  <si>
    <t>AAAA-MM-DD</t>
  </si>
  <si>
    <t>Sucursal radicacion</t>
  </si>
  <si>
    <t>Año de nacimiento</t>
  </si>
  <si>
    <t>Mes de nacimiento</t>
  </si>
  <si>
    <t>Dia de nacimiento</t>
  </si>
  <si>
    <t>Estado civil</t>
  </si>
  <si>
    <t>Nivel de Estudio</t>
  </si>
  <si>
    <t>Ocupacion</t>
  </si>
  <si>
    <t>0 Ninguno
1 Casado/a
2 Soltero/a
3 Viudo/a
4 Divorciado/a
5 Separado/a legal
6 Separado/a de hecho
7 Unido/a de hecho</t>
  </si>
  <si>
    <t>0 No Corresponde
1 Sin Estudios
2 Primarios
3 Secundarios
4 Terciarios
5 Universitario</t>
  </si>
  <si>
    <t xml:space="preserve">10     Clave énica de Identificación Tributaria (CUIT, valor específico para BAPRO).                                                       
20     Clave de Identificación (CDI, valor específico para BAPRO)         
30     Código énico de Identificación Laboral (CUIL, valor específico para  BAPRO).                                                            </t>
  </si>
  <si>
    <t>Tipo de Documento</t>
  </si>
  <si>
    <t>Nro de Documento</t>
  </si>
  <si>
    <t xml:space="preserve">1      Documento Nacional de Identidad (DNI, valor específico BAPRO).    
2      Libreta de Enrolamiento (LE, valor específico BAPRO).             
3      Libreta Cívica (LC, valor específico BAPRO).                      
4      Cédula de Identidad para extranjeros de países limítrofes (CI,    
       valor específico BAPRO).                                          
6      Otros documentos (O, valor específico BAPRO).                     
7      Clave énica de Identificación Tributaria (CUIT, valor específico  
       para el BAPRO).                                                   
8      Juzgados                                                          
9      Pasaporte (P, valor específico BAPRO).                            </t>
  </si>
  <si>
    <t>X</t>
  </si>
  <si>
    <t xml:space="preserve"> </t>
  </si>
  <si>
    <t>Nacionalidad</t>
  </si>
  <si>
    <t xml:space="preserve">0 Desconocido      
1 Hombre/Masculino 
2 Mujer/Femenino   
3 Sin determinar   </t>
  </si>
  <si>
    <t xml:space="preserve"> 110   Químico (en general, Licenciado, Ingeniero, Doctor).                    
 120   Físico (en general, Licenciado, Doctor).                                
 130   Astrónomo, Geólogo, Meteorólogo, Geofísico, Licenciado Doctor en        
       Geológicas o Naturales.                                                 
 140   Técnico en ciencias físicas, geológicas o químicas.                     
 210   Arquitecto.                                                             
 230   Ingeniero de telecomunicación.                                          
 240   Ingeniero industrial.                                                   
 250   Ingeniero naval.                                                        
 260   Ingeniero aeronáutico.                                                  
 270   Ingeniero de minas.                                                     
 280   Ingeniero geógrafo.                                                     
 320   Delineante o dibujante técnico.                                         
 330   Ingeniero técnico topógrafo.                                            
 340   Ingeniero técnico de obras públicas.                                    
 350   Ingeniero técnico telecomunicación.                                     
 360   Ingeniero técnico industrial.                                           
 380   Ingeniero técnico aeronáutico.                                          
 390   Ingeniero técnico de minas.                                             
 412   Piloto de aviación.                                                     
 415   Mecánico de vuelo.                                                      
 416   Piloto de helicóptero.                                                  
 417   Instructor de vuelo.                                                    
 420   Capitán, oficial o piloto de navegación marítima.                       
 430   Oficial maquinista de navegación marítima.                              
 510   Botánico, biólogo o zoólogo.                                            
 520   Profesional de bacteriología, bioquímica, farmacología o genética.      
 530   Ingeniero agrónomo.                                                     
 540   Geólogo.                                                                
 550   Ingeniero técnico agrícola, agronómicas o biológicas.                   
 560   Ingeniero técnico forestal o técnico en cultivos forestales.            
 601   Reumatólogo.                                                            
 602   Médico Aparato digestivo.                                               
 603   Cardiólogo.                                                             
 604   Médico Oftalmólogo.                                                     
 605   Médico Ginecólogo.                                                      
 606   Traumatólogo.                                                           
 607   Médico Urólogo.                                                         
 608   Psiquiatra.                                                             
 610   Médico General.                                                         
 611   Médico Cirujano, en general.                                            
 612   Médico Aparato respiratorio.                                            
 613   Médico Neurólogo.                                                       
 614   Médico Radiología y Radioterapia.                                       
 616   Médico de medicina interna.                                             
 617   Pediatra o Puericultor.                                                 
 618   Médico Aparato circulatorio.                                            
 619   Otros médicos y cirujanos.                                              
 620   Anastesista.                                                            
 621   Médico Alergista.                                                       
 622   Cirujano Plástico.                                                      
 630   Dentista (Odontólogo).                                                  
 650   Veterinario.                                                            
 670   Farmacéutico.                                                           
 680   Bromatólogo o Dietético.                                                
 710   Enfermera o practicante.                                                
 730   Masajista o Terapeuta.                                                  
 740   Radiólogo.                                                              
 750   Auxiliar de clínica y personal sanitario no titulado.                   
 760   Optico u Optometrista.                                                  
 810   Estadístico.                                                            
 820   Matemático, Licenciado o Doctor en Ciencias Exactas.                    
 830   Actuario.                                                               
 840   Analista de Sistemas.                                                   
 850   Programador de computadora, técnico de cálculo matemático o             
       estadístico.                                                            
 900   Economista (Licenciado o Doctor en Ciencias Económicas).                
1100   Contador Público.                                                       
1212   Fiscal.                                                                 
1214   Abogado , Licenciado en Derecho.                                        
1215   Importador Exportador.                                                  
1220   Juez, Magistrado o Secretario judicial.                                 
1232   Escribano.                                                              
1233   Registrador de la Propiedad.                                            
1243   Asesor jurídico.                                                        
1290   Kinesiólogo.                                                            
1292   Gestor.                                                                 
1293   Asesor de empresas.                                                     
1294   Asesor laboral.                                                         
1295   Auditor.                                                                
1296   Aministrador de campos.                                                 
1297   Administrador de consorcios.                                            
1310   Profesor de Universidad o de ense¦anza superior.                        
1320   Maestro de Secundaria.                                                  
1330   Maestro.                                                                
1340   Maestra de jardín preescolar.                                           
1350   Administrador de Empresas.                                              
1390   Profesor no clasificado en otros grupos.                                
1410   Sacerdote, religioso, o ministro de la religión.                        
1510   Crítico o escritor.                                                     
1520   Periodista o reportero gráfico.                                         
1610   Escultor, grabador o pintor (arte).                                     
1620   Decorador o dise¦ador comercial.                                        
1630   Fotógrafo.                                                              
1640   Camarógrafo de cine o de televisión.                                    
1710   Cantante, compositor o músico.                                          
1720   Bailarín o coreógrafo.                                                  
1730   Actor, director de cine   teatro.                                       
1740   Empresario y productor de espectáculos artísticos.                      
1750   Artista de circo.                                                       
1792   Locutor de radio o televisión.                                          
1793   Animador de espectáculos.                                               
1810   Boxeador, ciclista, futbolista o deportista profesional.                
1820   Técnico de deportes.                                                    
1890   Deportista profesional (otros).                                         
1910   Archivista, bibliotecario o conservador de museos.                      
1920   Psicólogo, Geográfo, Sociológo, Antropólogo, Historiador, Doctor o      
       Licenciado en Ciencias Políticas.                                       
1930   Asistente social.                                                       
1942   Graduado social.                                                        
1950   Intérprete, traductor o filólogo.                                       
1962   Publicista.                                                             
1963   Relaciones Públicas.                                                    
2010   Funcionario Judicial.                                                   
2020   Personal directivo de la Administración Pública.                        
2023   Diplomático.                                                            
2110   Director o Gerente de empresa.                                          
2120   Jefe de departamento.                                                   
3110   Jefe de oficinas administrativas públicas.                              
3120   Jefe de oficinas administrativas privadas.                              
3200   Topógrafo.                                                              
3300   Empleado de caja, empleado de contabilidad o taquillero.                
3500   Jefe e inspector de servicios en los transportes y comunicaciones.      
3600   Guarda de transportes de viajes.                                        
3700   Cartero, mensajero, ordenanza.                                          
3800   Telefonista, telegrafista.                                              
3931   Contable, empleado administrativo en general.                           
3934   Empleado de notarias, de registros o de otros servicios jurídicos.      
3935   Empleado de seguros.                                                    
3936   Empleado bancario.                                                      
3937   Funcionario Público.                                                    
3941   Recepcionista, en general.                                              
3944   Empleado de agencia de viajes.                                          
3971   Entrevistador, agente de encuestas y censos.                            
4000   Gerente de comercio.                                                    
4100   Propietario de empresas o comercio.                                     
4210   Jefe de ventas.                                                         
4220   Jefe de compras.                                                        
4310   Agente de ventas.                                                       
4320   Agente de comercio, representante o viajante.                           
4410   Agente de aduanas o de cambio y bolsa.                                  
4420   Agente de seguros.                                                      
4430   Agente de venta de servicios de publicidad.                             
4440   Martillero público, subastador o tasador.                               
4510   Empleado de comercios.                                                  
4520   Vendedor ambulante, vendedor a domicilio o vendedor de diarios.         
4530   Vidrierista.                                                            
5000   Gerente de servicios de hotelería o similares.                          
5100   Propietario de hotelería y similares.                                   
5202   Mayordomo.                                                              
5310   Cocinero.                                                               
5320   Camarero.                                                               
5401   Empleada doméstica.                                                     
5405   Rentista (vive de rentas).                                              
5406   Auxiliar o azafata de vuelo.                                            
5510   Portero, Encargado o Conserje.                                          
5520   Limpiavidrios o personal de limpieza de edificios.                      
5600   Lavado, limpieza o planchado de ropa.                                   
5702   Peluquero de se¦oras.                                                   
5703   Peluquero de caballeros.                                                
5704   Esteticista, especialista tratamiento de belleza.                       
5705   Manicura.                                                               
5810   Bombero.                                                                
5820   Comisario o Inspector de policia.                                       
5830   Personal de cárceles.                                                   
5842   Policia Federal.                                                        
5843   Policia de la Provincia de Bs.As..                                      
5844   Agente de empresas de seguridad.                                        
5850   Detective o investigador privado.                                       
5860   Criminólogo.                                                            
5910   Guia.                                                                   
5920   Personal de pompas fúnebres.                                            
5930   Personal de apuestas deportivas.                                        
5940   Personal de servicios en espectáculos públicos.                         
6010   Director o jefe de empresas o explotaciones agrarias.                   
6020   Director o jefe de empresas o explotaciones de la pesca.                
6110   Agricultor.                                                             
6150   Metalúrgico.                                                            
6200   Ganadero.                                                               
6300   Trabajador forestal.                                                    
6400   Cazador, pescador o similares.                                          
7000   Capataz, encargado general o jefe de taller.                            
7100   Cantero, minero.                                                        
7200   Trabajador siderometalúrgico.                                           
7300   Trabajador de la preparación y del tratamiento de la madera y de la     
       fabricación de papel.                                                   
7400   Trabajador en la preparación y obtención de productos químicos.         
7500   Trabajador de productos textiles.                                       
7600   Curtidor, trabajador del curtido de pieles.                             
7710   Enólogo.                                                                
7730   Carnicero.                                                              
7740   Bodeguero.                                                              
7750   Trabajador de productos lácteos o del tratamiento de la leche.          
7760   Panadero, pastelero, confitero o preparador de pastas alimenticias.     
7770   Trabajador del aceite y sus derivados.                                  
7780   Trabajador de la elaboración y fabricación de bebidas.                  
7800   Trabajador de la elaboración de tabaco.                                 
7910   Modista o sastre.                                                       
7920   Peletero.                                                               
7930   Retirado FFAA.                                                          
7940   Cortador (de prendas de vestir) o patronista.                           
7950   Modelo profesional.                                                     
7960   Tapicero.                                                               
8010   Zapatero.                                                               
8020   Trabajador del calzado (excepto zapateros).                             
8030   Artesano del cuero.                                                     
8110   Ebanista.                                                               
8120   Operador de máquinas de labrar la madera.                               
8200   Trabajador de la labra de piedras, mármoles y similares.                
8310   Herrero.                                                                
8320   Matricero, mecánico-ajustador, modelista, trabajador de la              
       fabricación de herramientas.                                            
8330   Ajustador de máquinas herramientas.                                     
8342   Tornero.                                                                
8343   Yesero.                                                                 
8350   Afilador o pulidor de metales.                                          
8360   Cerrajero.                                                              
8410   Constructor.                                                            
8422   Relojero.                                                               
8425   Mecánico dental.                                                        
8430   Mecánico de automóviles, camiones., etc..                               
8440   Mecánico de motores de aviación.                                        
8510   Mecánico electricista.                                                  
8520   Ajustador de instalaciones y aparatos electrónicos.                     
8530   Armador de aparatos eléctricos y electrónicos.                          
8540   Colocador de antenas de radio y televisión.                             
8550   Electricista.                                                           
8560   Instalador de equipos telefónicos y telegráficos.                       
8570   Instalador de líneas eléctricas y de telecomunicación.                  
8610   Operador de emisora de radio o televisión.                              
8620   Operador de equipo de sonorización y de proyección cinematográfica.     
8710   Calefactor, instalador de tuberías.                                     
8720   Soldador, plomero.                                                      
8730   Calderero o chapista.                                                   
8740   Montador de estructuras metálicas.                                      
8800   Joyero.                                                                 
8900   Ceramista.                                                              
9000   Trabajador de la fabricación de productos de caucho y plástico.         
9100   Trabajador de la confección de productos de papel y cartón.             
9200   Encuadernador, impresor (sericigrafía) o trabajador artes gráficas.     
9310   Pintor de edificios y construcciones.                                   
9320   Pintor de automóviles.                                                  
9400   Taxidermista.                                                           
9510   Alba¦il, marmolista.                                                    
9540   Carpintero o parquetista.                                               
9550   Estuquista o lustrador.                                                 
9560   Instrumentador.                                                         
9570   Vidriero.                                                              
9710   Estibador.                                                             
9730   Conductor de grúas u operador de instalaciones de elevación.           
9810   Contramaestre o marinero.                                              
9830   Conductor de tren subterráneo o maquinista de FFCC.                    
9850   Taxista, chofer de omnibus, camión, taxi o vehículos de motor.         
9900   Peón.                                                                  
9901   Estudiante.                                                            
9902   Jubilado o Pensionado.                                                 
9903   Ama de casa.                                                           
9904   Militar Gendarme o profesional de las FFAA.                            </t>
  </si>
  <si>
    <t xml:space="preserve">0000 - Ninguno                                           
0051 - Italia                                            
0052 - Grecia                                            
0053 - Kuwait                                            
0054 - Dinamarca                                         
0055 - Austria                                           
0056 - Portugal                                          
0057 - Hong-Kong                                         
0059 - Marruecos                                         
0060 - Argelia                                           
0061 - Egipto                                            
0062 - Singapur                                          
0063 - Arabia Saudita                                    
0064 - Australia                                         
0065 - Puerto Rico                                       
0066 - Canadá                                            
0067 - México                                            
0068 - Noruega                                           
0069 - Honduras                                          
0070 - Sudáfrica                                         
0071 - Gibraltar                                         
0072 - Cos.Rica                                          
0073 - Panamá                                            
0074 - Cuba                                              
0075 - R.Dominicana                                      
0076 - Colombia                                          
0077 - Venezuela                                         
0078 - Finlandia                                         
0079 - Perú                                              
0080 - Brasil                                            
0081 - Alemania                                          
0082 - Suiza                                             
0083 - Francia                                           
0084 - Bélgica                                           
0085 - Holanda (Países Bajos)                            
0086 - Reino Unido                                       
0087 - Luxemburgo                                        
0088 - Suecia                                            
0089 - Chile                                             
0090 - Andorra                                           
0091 - Liberia                                           
0092 - Uruguay                                           
0093 - Argentina                                         
0094 - India                                             
0095 - Filipinas                                         
0096 - China                                             
0097 - Japón                                             
0098 - Cor.Sur                                           
0099 - Líbano                                            
0100 - España                                            
0101 - Mónaco                                            
0102 - R.Cabo Verde                                      
0103 - Irlanda                                           
0104 - Islandia                                          
0105 - Is.Féroe                                          
0106 - Lietchtenstein                                    
0107 - Ciudad del Vaticano                               
0108 - Malta                                             
0109 - Montserrat                                        
0110 - Turquia                                           
0111 - Polonia                                           
0113 - Hungría                                           
0114 - Rumanía                                           
0115 - Bulgaria                                          
0116 - Albania                                           
0117 - R.Eslovaca                                        
0118 - Ucrania                                           
0119 - Bielorrusia                                       
0120 - Moldavia                                          
0121 - Rusia                                             
0122 - Georgia                                           
0123 - Armenia                                           
0124 - Azerbaiyan                                        
0125 - Kazajstán                                         
0126 - Turkmenistán                                      
0127 - Uzbekistán                                        
0128 - Tayikistán                                        
0129 - Kirguizistán                                      
0131 - Eslovenia                                         
0132 - Croacia                                           
0133 - Bosnia-Herzegovina                                
0134 - Estonia                                           
0135 - Letonia                                           
0136 - Lituania                                          
0137 - San Marino                                        
0138 - Is.Anglonormandas (Islas del Canal)               
0139 - Is.Man                                            
0140 - Is.Marianas                                       
0141 - Is.Cook                                           
0212 - Túnez                                             
0216 - Libia                                             
0224 - Sudán                                             
0228 - Mauritania                                        
0232 - Malí                                              
0236 - Bourkina-Faso (Alto Volta)                        
0239 - Is.Sandwich y Georgias del Sur                    
0240 - Níger                                             
0244 - Tchad                                             
0248 - Senegal                                           
0252 - Gambia                                            
0257 - Guin.Bissau                                       
0260 - Guinea                                            
0264 - Sierra Leona                                      
0272 - Cos.de Marfil                                     
0276 - Ghana                                             
0280 - Togo                                              
0284 - Benin                                             
0288 - Nigeria                                           
0302 - Camerún                                           
0306 - R.Centro Africana                                 
0310 - Guin.Ecuatorial                                   
0311 - Santo Tome y Príncipe                             
0314 - Gabón                                             
0316 - Guam                                              
0318 - Congo                                             
0322 - R.Congo                                           
0324 - Rwanda                                            
0328 - Burundi y Ruanda                                  
0329 - Sta.Helena y dependencias                         
0330 - Angola                                            
0334 - Etiopía                                           
0336 - Eritrea                                           
0338 - Djibouti                                          
0342 - Somalia                                           
0346 - Kenya                                             
0350 - Uganda                                            
0352 - Tanzania                                          
0355 - Seychelles y dependencias                         
0366 - Mozambique                                        
0370 - Madagascar                                        
0372 - Reunión                                           
0373 - Mauricio                                          
0375 - Comores                                           
0377 - Mayotte                                           
0378 - Zambia                                            
0382 - Zimbabwe                                          
0386 - Malawi                                            
0389 - Namibia                                           
0391 - Botswana                                          
0393 - Swaziland                                         
0395 - Lesotho                                           
0400 - Estados Unidos de America                         
0406 - Groenlandia                                       
0408 - Saint Pierre y Miquelón                           
0413 - Bermudas                                          
0416 - Guatemala                                         
0421 - Belize                                            
0428 - El Salvador                                       
0432 - Nicaragua                                         
0446 - Anguilla                                          
0449 - San Cristóbal y Nevis                             
0452 - Haití                                             
0453 - Bahamas                                           
0454 - Is.Turquesas y Caicos                             
0457 - Is.V.Estados Unidos                               
0458 - Guadalupe                                         
0459 - Antigua y Barbuda                                 
0460 - Dominica                                          
0461 - Is.V.Británicas                                   
0462 - Martinica                                         
0463 - Is.Caymán                                         
0464 - Jamaica                                           
0465 - Sta.Lucía                                         
0467 - San Vicente                                       
0469 - Barbados                                          
0472 - Trinidad y Tobago                                 
0473 - Granada                                           
0474 - Aruba                                             
0478 - Antillas Holandesas                               
0488 - Guyana                                            
0492 - Surinam                                           
0496 - Guy.Francesa                                      
0500 - Ecuador                                           
0516 - Bolivia                                           
0520 - Paraguay                                          
0529 - Is.Falkland                                       
0600 - Chipre                                            
0608 - Siria                                             
0612 - Iraq                                              
0616 - Irán                                              
0624 - Israel                                            
0628 - Jordania                                          
0640 - Bahrain                                           
0644 - Qatar                                             
0647 - Emiratos Arabes Unidos                            
0649 - Omán                                              
0653 - Yemen                                             
0660 - Afganistán                                        
0662 - Pakistán                                          
0666 - Bangladesh                                        
0667 - Maldivas (Islas)                                  
0669 - Sri Lanka                                         
0672 - Nepal                                             
0675 - Bhoutan                                           
0676 - Myanmar (Birmania)                                
0680 - Thailandia                                        
0684 - Laos                                              
0690 - Vietnam                                           
0696 - Camboya                                           
0700 - Indonesia                                         
0701 - Malasia                                           
0703 - Brunei                                            
0716 - Mongolia                                          
0724 - Cor.Norte                                         
0736 - Taiwan                                            
0743 - Macao                                             
0801 - Papua-Nueva Guinea                                
0803 - Nauru                                             
0804 - N.Zelanda                                         
0806 - Is.Salomón                                        
0807 - Tuvalu                                            
0809 - N.Caledonia y dependencias                        
0811 - Is.Wallis y Futuna                                
0812 - Kiribati                                          
0813 - Is.Pitcairn                                       
0815 - Fidji                                             
0816 - Vanuatu                                           
0817 - Tonga                                             
0819 - Sam.Occidental                                    
0822 - Polinesia Francesa                                
0823 - Federación de Estados de Micronesia               
0824 - I.Marshall                                        
0825 - Palau                                             
0959 - Serbia                                            
0960 - R.Checa                                           
0965 - Macedonia                                         
0966 - Palestina                                         
0972 - Jersey                                            
0974 - Apátrida                                          
0975 - Antartida                                         
0976 - Sam.Americana                                     
0977 - Is.Cocos                                          
0978 - Is.Christmas                                      
0979 - Sahara Occidental                                 
0980 - Is.Heard y McDonalds                              
0981 - Ter.Británico Océano Índico                       
0982 - Montenegro                                        
0983 - Is.Norfolk                                        
0984 - Niue                                              
0985 - Is.Svalbard y Jan Mayen                           
0986 - Ter.Australes Franceses                           
0987 - Is. Perifericas menores EE.UU                     
3582 - Timor-Leste                                       
3583 - Tokelau                                           
3584 - Is.Bouvet                                         
</t>
  </si>
  <si>
    <t>SVC1004-APE-Y-NOM</t>
  </si>
  <si>
    <t>APELLIDO Y NOMBRE FORMATEADO ( T1001PE- PERSONAS )</t>
  </si>
  <si>
    <t>000113EM1004000000000000121052009155959P0769501047                                                    </t>
  </si>
  <si>
    <t>TramaEjemplo</t>
  </si>
  <si>
    <t>SVC1004-TIP-PEDID2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</si>
</sst>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8"/>
      <name val="Tahoma"/>
    </font>
    <font>
      <sz val="8"/>
      <name val="Verdana Ref"/>
      <family val="2"/>
    </font>
    <font>
      <sz val="10"/>
      <name val="Verdana Ref"/>
      <family val="2"/>
    </font>
    <font>
      <b/>
      <sz val="10"/>
      <color indexed="18"/>
      <name val="Verdana Ref"/>
      <family val="2"/>
    </font>
    <font>
      <sz val="9"/>
      <name val="Verdana Ref"/>
      <family val="2"/>
    </font>
    <font>
      <b/>
      <sz val="9"/>
      <color indexed="10"/>
      <name val="Verdana Ref"/>
      <family val="2"/>
    </font>
    <font>
      <b/>
      <sz val="9"/>
      <color indexed="18"/>
      <name val="Verdana Ref"/>
      <family val="2"/>
    </font>
    <font>
      <sz val="8"/>
      <color indexed="10"/>
      <name val="Tahoma"/>
      <family val="2"/>
    </font>
    <font>
      <sz val="8"/>
      <color indexed="10"/>
      <name val="Verdana Ref"/>
      <family val="2"/>
    </font>
    <font>
      <u/>
      <sz val="9"/>
      <name val="Verdana Ref"/>
      <family val="2"/>
    </font>
    <font>
      <sz val="8"/>
      <name val="Tahoma"/>
      <family val="2"/>
    </font>
    <font>
      <b/>
      <sz val="8"/>
      <name val="Tahoma"/>
      <family val="2"/>
    </font>
    <font>
      <sz val="11"/>
      <color rgb="FFCE9178"/>
      <name val="Consolas"/>
      <family val="3"/>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gray125">
        <fgColor indexed="8"/>
        <bgColor indexed="41"/>
      </patternFill>
    </fill>
    <fill>
      <patternFill patternType="gray0625">
        <bgColor indexed="41"/>
      </patternFill>
    </fill>
  </fills>
  <borders count="25">
    <border>
      <left/>
      <right/>
      <top/>
      <bottom/>
      <diagonal/>
    </border>
    <border>
      <left style="medium">
        <color indexed="12"/>
      </left>
      <right style="medium">
        <color indexed="12"/>
      </right>
      <top style="medium">
        <color indexed="12"/>
      </top>
      <bottom style="medium">
        <color indexed="12"/>
      </bottom>
      <diagonal/>
    </border>
    <border>
      <left style="thick">
        <color indexed="18"/>
      </left>
      <right style="thick">
        <color indexed="18"/>
      </right>
      <top style="thick">
        <color indexed="18"/>
      </top>
      <bottom style="thick">
        <color indexed="18"/>
      </bottom>
      <diagonal/>
    </border>
    <border>
      <left style="thick">
        <color indexed="18"/>
      </left>
      <right/>
      <top style="thick">
        <color indexed="18"/>
      </top>
      <bottom/>
      <diagonal/>
    </border>
    <border>
      <left/>
      <right/>
      <top style="thick">
        <color indexed="18"/>
      </top>
      <bottom/>
      <diagonal/>
    </border>
    <border>
      <left/>
      <right style="thick">
        <color indexed="18"/>
      </right>
      <top style="thick">
        <color indexed="18"/>
      </top>
      <bottom/>
      <diagonal/>
    </border>
    <border>
      <left style="thick">
        <color indexed="18"/>
      </left>
      <right style="thick">
        <color indexed="18"/>
      </right>
      <top/>
      <bottom style="thick">
        <color indexed="18"/>
      </bottom>
      <diagonal/>
    </border>
    <border>
      <left style="thick">
        <color indexed="18"/>
      </left>
      <right/>
      <top style="thick">
        <color indexed="18"/>
      </top>
      <bottom style="thick">
        <color indexed="18"/>
      </bottom>
      <diagonal/>
    </border>
    <border>
      <left/>
      <right/>
      <top style="thick">
        <color indexed="18"/>
      </top>
      <bottom style="thick">
        <color indexed="18"/>
      </bottom>
      <diagonal/>
    </border>
    <border>
      <left/>
      <right style="thick">
        <color indexed="18"/>
      </right>
      <top style="thick">
        <color indexed="18"/>
      </top>
      <bottom style="thick">
        <color indexed="18"/>
      </bottom>
      <diagonal/>
    </border>
    <border>
      <left style="medium">
        <color indexed="10"/>
      </left>
      <right style="medium">
        <color indexed="10"/>
      </right>
      <top style="medium">
        <color indexed="10"/>
      </top>
      <bottom style="medium">
        <color indexed="10"/>
      </bottom>
      <diagonal/>
    </border>
    <border>
      <left style="thick">
        <color indexed="18"/>
      </left>
      <right/>
      <top/>
      <bottom style="thick">
        <color indexed="18"/>
      </bottom>
      <diagonal/>
    </border>
    <border>
      <left/>
      <right/>
      <top/>
      <bottom style="thick">
        <color indexed="18"/>
      </bottom>
      <diagonal/>
    </border>
    <border>
      <left style="medium">
        <color indexed="12"/>
      </left>
      <right style="medium">
        <color indexed="12"/>
      </right>
      <top style="medium">
        <color indexed="12"/>
      </top>
      <bottom/>
      <diagonal/>
    </border>
    <border>
      <left style="medium">
        <color indexed="12"/>
      </left>
      <right style="medium">
        <color indexed="12"/>
      </right>
      <top/>
      <bottom style="medium">
        <color indexed="12"/>
      </bottom>
      <diagonal/>
    </border>
    <border>
      <left style="double">
        <color indexed="18"/>
      </left>
      <right/>
      <top/>
      <bottom/>
      <diagonal/>
    </border>
    <border>
      <left/>
      <right/>
      <top style="double">
        <color indexed="18"/>
      </top>
      <bottom style="double">
        <color indexed="18"/>
      </bottom>
      <diagonal/>
    </border>
    <border>
      <left style="medium">
        <color indexed="10"/>
      </left>
      <right/>
      <top style="medium">
        <color indexed="10"/>
      </top>
      <bottom style="medium">
        <color indexed="10"/>
      </bottom>
      <diagonal/>
    </border>
    <border>
      <left style="medium">
        <color indexed="18"/>
      </left>
      <right style="medium">
        <color indexed="18"/>
      </right>
      <top style="medium">
        <color indexed="18"/>
      </top>
      <bottom style="medium">
        <color indexed="18"/>
      </bottom>
      <diagonal/>
    </border>
    <border>
      <left style="medium">
        <color indexed="12"/>
      </left>
      <right/>
      <top style="medium">
        <color indexed="12"/>
      </top>
      <bottom style="medium">
        <color indexed="12"/>
      </bottom>
      <diagonal/>
    </border>
    <border>
      <left style="medium">
        <color indexed="10"/>
      </left>
      <right style="medium">
        <color indexed="10"/>
      </right>
      <top style="medium">
        <color indexed="10"/>
      </top>
      <bottom/>
      <diagonal/>
    </border>
    <border>
      <left style="thick">
        <color indexed="18"/>
      </left>
      <right style="medium">
        <color indexed="12"/>
      </right>
      <top style="medium">
        <color indexed="12"/>
      </top>
      <bottom style="medium">
        <color indexed="12"/>
      </bottom>
      <diagonal/>
    </border>
    <border>
      <left/>
      <right style="medium">
        <color indexed="12"/>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9">
    <xf numFmtId="0" fontId="0" fillId="0" borderId="0" xfId="0"/>
    <xf numFmtId="0" fontId="0" fillId="2" borderId="0" xfId="0" applyFill="1"/>
    <xf numFmtId="0" fontId="0" fillId="2" borderId="0" xfId="0" applyFill="1" applyAlignment="1">
      <alignment horizontal="center"/>
    </xf>
    <xf numFmtId="0" fontId="0" fillId="2" borderId="0" xfId="0" applyFill="1" applyAlignment="1">
      <alignment horizontal="center" wrapText="1"/>
    </xf>
    <xf numFmtId="0" fontId="0" fillId="2" borderId="0" xfId="0" applyFill="1" applyAlignment="1">
      <alignment wrapText="1"/>
    </xf>
    <xf numFmtId="0" fontId="1" fillId="2" borderId="1" xfId="0" applyFont="1" applyFill="1" applyBorder="1" applyAlignment="1">
      <alignment horizontal="left" inden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1" xfId="0" applyFont="1" applyFill="1" applyBorder="1"/>
    <xf numFmtId="0" fontId="2" fillId="2" borderId="0" xfId="0" applyFont="1" applyFill="1" applyAlignment="1">
      <alignment horizontal="center" vertical="center"/>
    </xf>
    <xf numFmtId="0" fontId="2" fillId="2" borderId="2" xfId="0" applyFont="1" applyFill="1" applyBorder="1" applyAlignment="1">
      <alignment horizontal="center" vertical="center" wrapText="1"/>
    </xf>
    <xf numFmtId="0" fontId="0" fillId="2" borderId="3" xfId="0" applyFill="1" applyBorder="1"/>
    <xf numFmtId="0" fontId="0" fillId="2" borderId="4" xfId="0" applyFill="1" applyBorder="1" applyAlignment="1">
      <alignment horizontal="center"/>
    </xf>
    <xf numFmtId="0" fontId="0" fillId="2" borderId="4" xfId="0" applyFill="1" applyBorder="1" applyAlignment="1">
      <alignment horizontal="center" wrapText="1"/>
    </xf>
    <xf numFmtId="0" fontId="0" fillId="2" borderId="5" xfId="0" applyFill="1" applyBorder="1"/>
    <xf numFmtId="0" fontId="2" fillId="2" borderId="6" xfId="0" applyFont="1" applyFill="1" applyBorder="1" applyAlignment="1">
      <alignment horizontal="center" vertical="center" wrapText="1"/>
    </xf>
    <xf numFmtId="0" fontId="0" fillId="3" borderId="7" xfId="0" applyFill="1" applyBorder="1"/>
    <xf numFmtId="0" fontId="0" fillId="3" borderId="8" xfId="0" applyFill="1" applyBorder="1" applyAlignment="1">
      <alignment horizontal="center"/>
    </xf>
    <xf numFmtId="0" fontId="0" fillId="3" borderId="8" xfId="0" applyFill="1" applyBorder="1" applyAlignment="1">
      <alignment horizontal="center" wrapText="1"/>
    </xf>
    <xf numFmtId="0" fontId="0" fillId="3" borderId="9" xfId="0" applyFill="1" applyBorder="1"/>
    <xf numFmtId="0" fontId="3" fillId="2" borderId="2" xfId="0" applyFont="1" applyFill="1" applyBorder="1" applyAlignment="1">
      <alignment wrapText="1"/>
    </xf>
    <xf numFmtId="0" fontId="3" fillId="4" borderId="2" xfId="0" applyFont="1" applyFill="1" applyBorder="1" applyAlignment="1">
      <alignment horizontal="center" vertical="center"/>
    </xf>
    <xf numFmtId="0" fontId="0" fillId="4" borderId="0" xfId="0" applyFill="1" applyAlignment="1">
      <alignment horizontal="center"/>
    </xf>
    <xf numFmtId="0" fontId="0" fillId="4" borderId="0" xfId="0" applyFill="1" applyAlignment="1">
      <alignment horizontal="center" wrapText="1"/>
    </xf>
    <xf numFmtId="0" fontId="0" fillId="4" borderId="0" xfId="0" applyFill="1"/>
    <xf numFmtId="0" fontId="4" fillId="2" borderId="0" xfId="0" applyFont="1" applyFill="1"/>
    <xf numFmtId="0" fontId="4" fillId="2" borderId="3" xfId="0" applyFont="1" applyFill="1" applyBorder="1"/>
    <xf numFmtId="0" fontId="4" fillId="2" borderId="4" xfId="0" applyFont="1" applyFill="1" applyBorder="1" applyAlignment="1">
      <alignment horizontal="center"/>
    </xf>
    <xf numFmtId="0" fontId="4" fillId="2" borderId="4" xfId="0" applyFont="1" applyFill="1" applyBorder="1" applyAlignment="1">
      <alignment horizontal="center" wrapText="1"/>
    </xf>
    <xf numFmtId="0" fontId="4" fillId="2" borderId="0" xfId="0" applyFont="1" applyFill="1" applyAlignment="1">
      <alignment horizontal="center" vertical="center"/>
    </xf>
    <xf numFmtId="0" fontId="4" fillId="2" borderId="2"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3" borderId="7" xfId="0" applyFont="1" applyFill="1" applyBorder="1"/>
    <xf numFmtId="0" fontId="4" fillId="3" borderId="8" xfId="0" applyFont="1" applyFill="1" applyBorder="1" applyAlignment="1">
      <alignment horizontal="center"/>
    </xf>
    <xf numFmtId="0" fontId="4" fillId="3" borderId="8" xfId="0" applyFont="1" applyFill="1" applyBorder="1" applyAlignment="1">
      <alignment horizontal="center" wrapText="1"/>
    </xf>
    <xf numFmtId="0" fontId="5" fillId="2" borderId="2" xfId="0" applyFont="1" applyFill="1" applyBorder="1" applyAlignment="1">
      <alignment wrapText="1"/>
    </xf>
    <xf numFmtId="0" fontId="5" fillId="4" borderId="2" xfId="0" applyFont="1" applyFill="1" applyBorder="1" applyAlignment="1">
      <alignment horizontal="center" vertical="center"/>
    </xf>
    <xf numFmtId="0" fontId="4" fillId="4" borderId="0" xfId="0" applyFont="1" applyFill="1" applyAlignment="1">
      <alignment horizontal="center"/>
    </xf>
    <xf numFmtId="0" fontId="4" fillId="4" borderId="0" xfId="0" applyFont="1" applyFill="1" applyAlignment="1">
      <alignment horizontal="center" wrapText="1"/>
    </xf>
    <xf numFmtId="0" fontId="4" fillId="3" borderId="3" xfId="0" applyFont="1" applyFill="1" applyBorder="1"/>
    <xf numFmtId="0" fontId="4" fillId="3" borderId="4" xfId="0" applyFont="1" applyFill="1" applyBorder="1" applyAlignment="1">
      <alignment horizontal="center"/>
    </xf>
    <xf numFmtId="0" fontId="4" fillId="3" borderId="4" xfId="0" applyFont="1" applyFill="1" applyBorder="1" applyAlignment="1">
      <alignment horizontal="center" wrapText="1"/>
    </xf>
    <xf numFmtId="0" fontId="4" fillId="0" borderId="10" xfId="0" applyFont="1" applyBorder="1"/>
    <xf numFmtId="0" fontId="4" fillId="0" borderId="10" xfId="0" applyFont="1" applyBorder="1" applyAlignment="1">
      <alignment horizontal="center"/>
    </xf>
    <xf numFmtId="0" fontId="4" fillId="2" borderId="10" xfId="0" applyFont="1" applyFill="1" applyBorder="1" applyAlignment="1">
      <alignment horizontal="center"/>
    </xf>
    <xf numFmtId="0" fontId="4" fillId="3" borderId="11" xfId="0" applyFont="1" applyFill="1" applyBorder="1"/>
    <xf numFmtId="0" fontId="4" fillId="3" borderId="12" xfId="0" applyFont="1" applyFill="1" applyBorder="1" applyAlignment="1">
      <alignment horizontal="center"/>
    </xf>
    <xf numFmtId="0" fontId="4" fillId="3" borderId="12" xfId="0" applyFont="1" applyFill="1" applyBorder="1" applyAlignment="1">
      <alignment horizontal="center" wrapText="1"/>
    </xf>
    <xf numFmtId="0" fontId="6" fillId="2" borderId="2" xfId="0" applyFont="1" applyFill="1" applyBorder="1" applyAlignment="1">
      <alignment wrapText="1"/>
    </xf>
    <xf numFmtId="0" fontId="6" fillId="4" borderId="2" xfId="0" applyFont="1" applyFill="1" applyBorder="1" applyAlignment="1">
      <alignment horizontal="center" vertical="center"/>
    </xf>
    <xf numFmtId="0" fontId="4" fillId="0" borderId="1" xfId="0" applyFont="1" applyBorder="1"/>
    <xf numFmtId="0" fontId="4" fillId="0" borderId="1" xfId="0" applyFont="1" applyBorder="1" applyAlignment="1">
      <alignment horizontal="center"/>
    </xf>
    <xf numFmtId="0" fontId="4" fillId="2" borderId="13" xfId="0" applyFont="1" applyFill="1" applyBorder="1" applyAlignment="1">
      <alignment horizontal="center"/>
    </xf>
    <xf numFmtId="0" fontId="4" fillId="2" borderId="13" xfId="0" applyFont="1" applyFill="1" applyBorder="1" applyAlignment="1">
      <alignment horizontal="center"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4" xfId="0" applyFont="1" applyFill="1" applyBorder="1" applyAlignment="1">
      <alignment horizontal="center"/>
    </xf>
    <xf numFmtId="0" fontId="4" fillId="2" borderId="14" xfId="0" applyFont="1" applyFill="1" applyBorder="1" applyAlignment="1">
      <alignment horizontal="center" wrapText="1"/>
    </xf>
    <xf numFmtId="0" fontId="4" fillId="2" borderId="1" xfId="0" applyFont="1" applyFill="1" applyBorder="1"/>
    <xf numFmtId="0" fontId="6" fillId="5" borderId="15" xfId="0" applyFont="1" applyFill="1" applyBorder="1" applyAlignment="1">
      <alignment horizontal="left"/>
    </xf>
    <xf numFmtId="0" fontId="6" fillId="5" borderId="16" xfId="0" applyFont="1" applyFill="1" applyBorder="1" applyAlignment="1">
      <alignment horizontal="left"/>
    </xf>
    <xf numFmtId="0" fontId="4" fillId="2" borderId="0" xfId="0" applyFont="1" applyFill="1" applyAlignment="1">
      <alignment horizontal="center"/>
    </xf>
    <xf numFmtId="0" fontId="4" fillId="2" borderId="0" xfId="0" applyFont="1" applyFill="1" applyAlignment="1">
      <alignment horizontal="center" wrapText="1"/>
    </xf>
    <xf numFmtId="0" fontId="4" fillId="2" borderId="0" xfId="0" applyFont="1" applyFill="1" applyAlignment="1">
      <alignment horizontal="left"/>
    </xf>
    <xf numFmtId="0" fontId="4" fillId="5" borderId="0" xfId="0" applyFont="1" applyFill="1" applyAlignment="1">
      <alignment horizontal="center"/>
    </xf>
    <xf numFmtId="0" fontId="4" fillId="4" borderId="0" xfId="0" applyFont="1" applyFill="1" applyAlignment="1">
      <alignment horizontal="left"/>
    </xf>
    <xf numFmtId="0" fontId="4" fillId="3" borderId="8" xfId="0" applyFont="1" applyFill="1" applyBorder="1" applyAlignment="1">
      <alignment horizontal="left"/>
    </xf>
    <xf numFmtId="0" fontId="4" fillId="3" borderId="4" xfId="0" applyFont="1" applyFill="1" applyBorder="1" applyAlignment="1">
      <alignment horizontal="left"/>
    </xf>
    <xf numFmtId="0" fontId="7" fillId="4" borderId="0" xfId="0" applyFont="1" applyFill="1" applyAlignment="1">
      <alignment horizontal="center"/>
    </xf>
    <xf numFmtId="0" fontId="4" fillId="2" borderId="2" xfId="0" applyFont="1" applyFill="1" applyBorder="1" applyAlignment="1">
      <alignment horizontal="center"/>
    </xf>
    <xf numFmtId="0" fontId="4" fillId="2" borderId="13" xfId="0" applyFont="1" applyFill="1" applyBorder="1" applyAlignment="1">
      <alignment horizontal="center" vertical="center"/>
    </xf>
    <xf numFmtId="0" fontId="8" fillId="2" borderId="13" xfId="0" applyFont="1" applyFill="1" applyBorder="1" applyAlignment="1">
      <alignment horizontal="left" vertical="center" wrapText="1"/>
    </xf>
    <xf numFmtId="0" fontId="0" fillId="2" borderId="2" xfId="0" applyFill="1" applyBorder="1" applyAlignment="1">
      <alignment horizontal="center"/>
    </xf>
    <xf numFmtId="0" fontId="1" fillId="2" borderId="1" xfId="0" applyFont="1" applyFill="1" applyBorder="1" applyAlignment="1">
      <alignment horizontal="left" vertical="top" wrapText="1"/>
    </xf>
    <xf numFmtId="0" fontId="0" fillId="4" borderId="9" xfId="0" applyFill="1" applyBorder="1"/>
    <xf numFmtId="0" fontId="4" fillId="2" borderId="17" xfId="0" applyFont="1" applyFill="1" applyBorder="1" applyAlignment="1">
      <alignment horizontal="center" wrapText="1"/>
    </xf>
    <xf numFmtId="0" fontId="4" fillId="4" borderId="18" xfId="0" quotePrefix="1" applyFont="1" applyFill="1" applyBorder="1" applyAlignment="1">
      <alignment horizontal="center" vertical="center"/>
    </xf>
    <xf numFmtId="0" fontId="4" fillId="3" borderId="18" xfId="0" quotePrefix="1" applyFont="1" applyFill="1" applyBorder="1" applyAlignment="1">
      <alignment horizontal="center" vertical="center"/>
    </xf>
    <xf numFmtId="0" fontId="4" fillId="2" borderId="19" xfId="0" applyFont="1" applyFill="1" applyBorder="1" applyAlignment="1">
      <alignment horizontal="center" wrapText="1"/>
    </xf>
    <xf numFmtId="0" fontId="4" fillId="2" borderId="10"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0" xfId="0" applyFont="1" applyFill="1" applyAlignment="1">
      <alignment vertical="center"/>
    </xf>
    <xf numFmtId="0" fontId="4" fillId="0" borderId="21" xfId="0" applyFont="1" applyBorder="1" applyAlignment="1">
      <alignment vertical="center"/>
    </xf>
    <xf numFmtId="0" fontId="4" fillId="2" borderId="13" xfId="0" applyFont="1" applyFill="1" applyBorder="1" applyAlignment="1">
      <alignment horizontal="center" vertical="center" wrapText="1"/>
    </xf>
    <xf numFmtId="0" fontId="4" fillId="2" borderId="22" xfId="0" applyFont="1" applyFill="1" applyBorder="1"/>
    <xf numFmtId="0" fontId="4" fillId="2" borderId="4" xfId="0" applyFont="1" applyFill="1" applyBorder="1" applyAlignment="1">
      <alignment horizontal="left" wrapText="1"/>
    </xf>
    <xf numFmtId="0" fontId="4" fillId="2" borderId="2" xfId="0" applyFont="1" applyFill="1" applyBorder="1" applyAlignment="1">
      <alignment horizontal="left" vertical="center" wrapText="1"/>
    </xf>
    <xf numFmtId="0" fontId="4" fillId="3" borderId="8" xfId="0" applyFont="1" applyFill="1" applyBorder="1" applyAlignment="1">
      <alignment horizontal="left" wrapText="1"/>
    </xf>
    <xf numFmtId="0" fontId="4" fillId="4" borderId="0" xfId="0" applyFont="1" applyFill="1" applyAlignment="1">
      <alignment horizontal="left" wrapText="1"/>
    </xf>
    <xf numFmtId="0" fontId="4" fillId="3" borderId="4" xfId="0" applyFont="1" applyFill="1" applyBorder="1" applyAlignment="1">
      <alignment horizontal="left" wrapText="1"/>
    </xf>
    <xf numFmtId="0" fontId="4" fillId="2" borderId="17" xfId="0" applyFont="1" applyFill="1" applyBorder="1" applyAlignment="1">
      <alignment horizontal="left" wrapText="1"/>
    </xf>
    <xf numFmtId="0" fontId="4" fillId="2" borderId="13" xfId="0" applyFont="1" applyFill="1" applyBorder="1" applyAlignment="1">
      <alignment horizontal="left" vertical="center" wrapText="1"/>
    </xf>
    <xf numFmtId="0" fontId="4" fillId="2" borderId="13" xfId="0" applyFont="1" applyFill="1" applyBorder="1" applyAlignment="1">
      <alignment horizontal="left" wrapText="1"/>
    </xf>
    <xf numFmtId="0" fontId="4" fillId="2" borderId="14" xfId="0" applyFont="1" applyFill="1" applyBorder="1" applyAlignment="1">
      <alignment horizontal="left" wrapText="1"/>
    </xf>
    <xf numFmtId="0" fontId="4" fillId="2" borderId="1" xfId="0" applyFont="1" applyFill="1" applyBorder="1" applyAlignment="1">
      <alignment horizontal="left" wrapText="1"/>
    </xf>
    <xf numFmtId="0" fontId="4" fillId="2" borderId="0" xfId="0" applyFont="1" applyFill="1" applyAlignment="1">
      <alignment horizontal="left" wrapText="1"/>
    </xf>
    <xf numFmtId="0" fontId="4" fillId="2" borderId="2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10" fillId="0" borderId="0" xfId="0" applyFont="1"/>
    <xf numFmtId="0" fontId="11" fillId="0" borderId="0" xfId="0" applyFont="1"/>
    <xf numFmtId="0" fontId="12" fillId="0" borderId="0" xfId="0" applyFont="1" applyAlignment="1">
      <alignment vertical="center"/>
    </xf>
    <xf numFmtId="0" fontId="6" fillId="6" borderId="15" xfId="0" applyFont="1" applyFill="1" applyBorder="1" applyAlignment="1">
      <alignment horizontal="left"/>
    </xf>
    <xf numFmtId="0" fontId="6" fillId="6" borderId="0" xfId="0" applyFont="1" applyFill="1" applyAlignment="1">
      <alignment horizontal="left"/>
    </xf>
    <xf numFmtId="0" fontId="6" fillId="6" borderId="16" xfId="0" applyFont="1" applyFill="1" applyBorder="1" applyAlignment="1">
      <alignment horizontal="left"/>
    </xf>
    <xf numFmtId="0" fontId="9"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342900</xdr:colOff>
      <xdr:row>18</xdr:row>
      <xdr:rowOff>276225</xdr:rowOff>
    </xdr:from>
    <xdr:to>
      <xdr:col>2</xdr:col>
      <xdr:colOff>342900</xdr:colOff>
      <xdr:row>20</xdr:row>
      <xdr:rowOff>123825</xdr:rowOff>
    </xdr:to>
    <xdr:sp macro="" textlink="">
      <xdr:nvSpPr>
        <xdr:cNvPr id="1050" name="Line 4">
          <a:extLst>
            <a:ext uri="{FF2B5EF4-FFF2-40B4-BE49-F238E27FC236}">
              <a16:creationId xmlns:a16="http://schemas.microsoft.com/office/drawing/2014/main" id="{17850C2C-7EC5-323C-F54C-0D92C3F95DB8}"/>
            </a:ext>
          </a:extLst>
        </xdr:cNvPr>
        <xdr:cNvSpPr>
          <a:spLocks noChangeShapeType="1"/>
        </xdr:cNvSpPr>
      </xdr:nvSpPr>
      <xdr:spPr bwMode="auto">
        <a:xfrm flipV="1">
          <a:off x="2495550" y="4610100"/>
          <a:ext cx="0" cy="5048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342900</xdr:colOff>
      <xdr:row>18</xdr:row>
      <xdr:rowOff>276225</xdr:rowOff>
    </xdr:from>
    <xdr:to>
      <xdr:col>2</xdr:col>
      <xdr:colOff>342900</xdr:colOff>
      <xdr:row>20</xdr:row>
      <xdr:rowOff>123825</xdr:rowOff>
    </xdr:to>
    <xdr:sp macro="" textlink="">
      <xdr:nvSpPr>
        <xdr:cNvPr id="1051" name="Line 5">
          <a:extLst>
            <a:ext uri="{FF2B5EF4-FFF2-40B4-BE49-F238E27FC236}">
              <a16:creationId xmlns:a16="http://schemas.microsoft.com/office/drawing/2014/main" id="{987D7B1C-A904-9953-B9E4-A19014C34D94}"/>
            </a:ext>
          </a:extLst>
        </xdr:cNvPr>
        <xdr:cNvSpPr>
          <a:spLocks noChangeShapeType="1"/>
        </xdr:cNvSpPr>
      </xdr:nvSpPr>
      <xdr:spPr bwMode="auto">
        <a:xfrm flipV="1">
          <a:off x="2495550" y="4610100"/>
          <a:ext cx="0" cy="5048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087E2-9C69-4279-AE09-43D9CA6A51FA}">
  <dimension ref="A1:H22"/>
  <sheetViews>
    <sheetView workbookViewId="0">
      <selection activeCell="H9" sqref="H9"/>
    </sheetView>
  </sheetViews>
  <sheetFormatPr baseColWidth="10" defaultRowHeight="10.5"/>
  <cols>
    <col min="1" max="1" width="2.1640625" style="1" customWidth="1"/>
    <col min="2" max="2" width="35.5" style="1" customWidth="1"/>
    <col min="3" max="3" width="12.6640625" style="2" customWidth="1"/>
    <col min="4" max="4" width="12.83203125" style="2" customWidth="1"/>
    <col min="5" max="5" width="15.33203125" style="3" customWidth="1"/>
    <col min="6" max="6" width="11" style="2" customWidth="1"/>
    <col min="7" max="7" width="56.5" style="2" customWidth="1"/>
    <col min="8" max="8" width="56" style="1" bestFit="1" customWidth="1"/>
    <col min="9" max="16384" width="12" style="1"/>
  </cols>
  <sheetData>
    <row r="1" spans="1:8" ht="12" thickTop="1" thickBot="1">
      <c r="B1" s="11"/>
      <c r="C1" s="12"/>
      <c r="D1" s="12"/>
      <c r="E1" s="13"/>
      <c r="F1" s="72" t="s">
        <v>35</v>
      </c>
      <c r="G1" s="72" t="s">
        <v>36</v>
      </c>
      <c r="H1" s="14"/>
    </row>
    <row r="2" spans="1:8" s="9" customFormat="1" ht="27" thickTop="1" thickBot="1">
      <c r="A2" s="9" t="s">
        <v>0</v>
      </c>
      <c r="B2" s="10" t="s">
        <v>1</v>
      </c>
      <c r="C2" s="10" t="s">
        <v>38</v>
      </c>
      <c r="D2" s="10" t="s">
        <v>3</v>
      </c>
      <c r="E2" s="10" t="s">
        <v>7</v>
      </c>
      <c r="F2" s="15" t="s">
        <v>37</v>
      </c>
      <c r="G2" s="15" t="s">
        <v>37</v>
      </c>
      <c r="H2" s="10" t="s">
        <v>2</v>
      </c>
    </row>
    <row r="3" spans="1:8" ht="12" thickTop="1" thickBot="1">
      <c r="B3" s="16"/>
      <c r="C3" s="17"/>
      <c r="D3" s="17"/>
      <c r="E3" s="18"/>
      <c r="F3" s="17"/>
      <c r="G3" s="17"/>
      <c r="H3" s="19"/>
    </row>
    <row r="4" spans="1:8" ht="14.25" thickTop="1" thickBot="1">
      <c r="B4" s="20" t="s">
        <v>20</v>
      </c>
      <c r="C4" s="21">
        <f>SUM(C6:C17)</f>
        <v>102</v>
      </c>
      <c r="D4" s="22"/>
      <c r="E4" s="23"/>
      <c r="F4" s="22"/>
      <c r="G4" s="22"/>
      <c r="H4" s="24"/>
    </row>
    <row r="5" spans="1:8" ht="12" thickTop="1" thickBot="1">
      <c r="B5" s="16"/>
      <c r="C5" s="17"/>
      <c r="D5" s="17"/>
      <c r="E5" s="18"/>
      <c r="F5" s="17"/>
      <c r="G5" s="17"/>
      <c r="H5" s="19"/>
    </row>
    <row r="6" spans="1:8" ht="12.75" thickTop="1" thickBot="1">
      <c r="B6" s="5" t="s">
        <v>21</v>
      </c>
      <c r="C6" s="6">
        <v>6</v>
      </c>
      <c r="D6" s="6" t="s">
        <v>4</v>
      </c>
      <c r="E6" s="7" t="s">
        <v>6</v>
      </c>
      <c r="F6" s="6" t="s">
        <v>19</v>
      </c>
      <c r="G6" s="6" t="s">
        <v>19</v>
      </c>
      <c r="H6" s="8" t="s">
        <v>32</v>
      </c>
    </row>
    <row r="7" spans="1:8" ht="12" thickBot="1">
      <c r="B7" s="5" t="s">
        <v>22</v>
      </c>
      <c r="C7" s="6">
        <v>2</v>
      </c>
      <c r="D7" s="6" t="s">
        <v>5</v>
      </c>
      <c r="E7" s="7" t="s">
        <v>6</v>
      </c>
      <c r="F7" s="6" t="s">
        <v>19</v>
      </c>
      <c r="G7" s="6" t="s">
        <v>19</v>
      </c>
      <c r="H7" s="8" t="s">
        <v>33</v>
      </c>
    </row>
    <row r="8" spans="1:8" ht="12" thickBot="1">
      <c r="B8" s="5" t="s">
        <v>23</v>
      </c>
      <c r="C8" s="6">
        <v>4</v>
      </c>
      <c r="D8" s="6" t="s">
        <v>4</v>
      </c>
      <c r="E8" s="7" t="s">
        <v>6</v>
      </c>
      <c r="F8" s="6" t="s">
        <v>19</v>
      </c>
      <c r="G8" s="6" t="s">
        <v>19</v>
      </c>
      <c r="H8" s="8" t="s">
        <v>34</v>
      </c>
    </row>
    <row r="9" spans="1:8" ht="108" customHeight="1" thickBot="1">
      <c r="B9" s="5" t="s">
        <v>24</v>
      </c>
      <c r="C9" s="6">
        <v>4</v>
      </c>
      <c r="D9" s="6" t="s">
        <v>4</v>
      </c>
      <c r="E9" s="7" t="s">
        <v>6</v>
      </c>
      <c r="F9" s="6" t="s">
        <v>18</v>
      </c>
      <c r="G9" s="73" t="s">
        <v>300</v>
      </c>
      <c r="H9" s="8" t="s">
        <v>14</v>
      </c>
    </row>
    <row r="10" spans="1:8" ht="12" thickBot="1">
      <c r="B10" s="5" t="s">
        <v>25</v>
      </c>
      <c r="C10" s="6">
        <v>9</v>
      </c>
      <c r="D10" s="6" t="s">
        <v>4</v>
      </c>
      <c r="E10" s="7" t="s">
        <v>6</v>
      </c>
      <c r="F10" s="6" t="s">
        <v>19</v>
      </c>
      <c r="G10" s="6" t="s">
        <v>19</v>
      </c>
      <c r="H10" s="8" t="s">
        <v>8</v>
      </c>
    </row>
    <row r="11" spans="1:8" ht="12" thickBot="1">
      <c r="B11" s="5" t="s">
        <v>26</v>
      </c>
      <c r="C11" s="6">
        <v>8</v>
      </c>
      <c r="D11" s="6" t="s">
        <v>4</v>
      </c>
      <c r="E11" s="7" t="s">
        <v>6</v>
      </c>
      <c r="F11" s="6" t="s">
        <v>19</v>
      </c>
      <c r="G11" s="6" t="s">
        <v>19</v>
      </c>
      <c r="H11" s="8" t="s">
        <v>9</v>
      </c>
    </row>
    <row r="12" spans="1:8" ht="12" thickBot="1">
      <c r="B12" s="5" t="s">
        <v>10</v>
      </c>
      <c r="C12" s="6">
        <v>6</v>
      </c>
      <c r="D12" s="6" t="s">
        <v>4</v>
      </c>
      <c r="E12" s="7" t="s">
        <v>6</v>
      </c>
      <c r="F12" s="6" t="s">
        <v>19</v>
      </c>
      <c r="G12" s="6" t="s">
        <v>19</v>
      </c>
      <c r="H12" s="8" t="s">
        <v>10</v>
      </c>
    </row>
    <row r="13" spans="1:8" ht="12" thickBot="1">
      <c r="B13" s="5" t="s">
        <v>27</v>
      </c>
      <c r="C13" s="6">
        <v>7</v>
      </c>
      <c r="D13" s="6" t="s">
        <v>5</v>
      </c>
      <c r="E13" s="7" t="s">
        <v>6</v>
      </c>
      <c r="F13" s="6" t="s">
        <v>19</v>
      </c>
      <c r="G13" s="6" t="s">
        <v>19</v>
      </c>
      <c r="H13" s="8" t="s">
        <v>11</v>
      </c>
    </row>
    <row r="14" spans="1:8" ht="12" thickBot="1">
      <c r="B14" s="5" t="s">
        <v>28</v>
      </c>
      <c r="C14" s="6">
        <v>4</v>
      </c>
      <c r="D14" s="6" t="s">
        <v>4</v>
      </c>
      <c r="E14" s="7" t="s">
        <v>6</v>
      </c>
      <c r="F14" s="6" t="s">
        <v>19</v>
      </c>
      <c r="G14" s="6" t="s">
        <v>19</v>
      </c>
      <c r="H14" s="8" t="s">
        <v>12</v>
      </c>
    </row>
    <row r="15" spans="1:8" ht="23.25" thickBot="1">
      <c r="B15" s="5" t="s">
        <v>29</v>
      </c>
      <c r="C15" s="6">
        <v>45</v>
      </c>
      <c r="D15" s="6" t="s">
        <v>5</v>
      </c>
      <c r="E15" s="7" t="s">
        <v>6</v>
      </c>
      <c r="F15" s="6" t="s">
        <v>17</v>
      </c>
      <c r="G15" s="7" t="s">
        <v>240</v>
      </c>
      <c r="H15" s="8" t="s">
        <v>13</v>
      </c>
    </row>
    <row r="16" spans="1:8" ht="12" thickBot="1">
      <c r="B16" s="5" t="s">
        <v>30</v>
      </c>
      <c r="C16" s="6">
        <v>2</v>
      </c>
      <c r="D16" s="6" t="s">
        <v>4</v>
      </c>
      <c r="E16" s="7" t="s">
        <v>6</v>
      </c>
      <c r="F16" s="6" t="s">
        <v>18</v>
      </c>
      <c r="G16" s="6" t="s">
        <v>19</v>
      </c>
      <c r="H16" s="8" t="s">
        <v>15</v>
      </c>
    </row>
    <row r="17" spans="2:8" ht="12" thickBot="1">
      <c r="B17" s="5" t="s">
        <v>31</v>
      </c>
      <c r="C17" s="6">
        <v>5</v>
      </c>
      <c r="D17" s="6" t="s">
        <v>5</v>
      </c>
      <c r="E17" s="7" t="s">
        <v>6</v>
      </c>
      <c r="F17" s="6" t="s">
        <v>17</v>
      </c>
      <c r="G17" s="6" t="s">
        <v>17</v>
      </c>
      <c r="H17" s="8" t="s">
        <v>16</v>
      </c>
    </row>
    <row r="18" spans="2:8" ht="12" thickTop="1" thickBot="1">
      <c r="B18" s="16"/>
      <c r="C18" s="17"/>
      <c r="D18" s="17"/>
      <c r="E18" s="18"/>
      <c r="F18" s="17"/>
      <c r="G18" s="17"/>
      <c r="H18" s="19"/>
    </row>
    <row r="19" spans="2:8" ht="39.75" thickTop="1" thickBot="1">
      <c r="B19" s="20" t="s">
        <v>40</v>
      </c>
      <c r="C19" s="21">
        <v>31900</v>
      </c>
      <c r="D19" s="22"/>
      <c r="E19" s="23"/>
      <c r="F19" s="22"/>
      <c r="G19" s="68"/>
      <c r="H19" s="74"/>
    </row>
    <row r="20" spans="2:8" ht="12" thickTop="1" thickBot="1">
      <c r="B20" s="16"/>
      <c r="C20" s="17"/>
      <c r="D20" s="17"/>
      <c r="E20" s="18"/>
      <c r="F20" s="17"/>
      <c r="G20" s="17"/>
      <c r="H20" s="19"/>
    </row>
    <row r="21" spans="2:8" ht="11.25" thickTop="1">
      <c r="B21" s="4"/>
    </row>
    <row r="22" spans="2:8">
      <c r="C22" s="2" t="s">
        <v>39</v>
      </c>
    </row>
  </sheetData>
  <phoneticPr fontId="0" type="noConversion"/>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0A29-FA54-4F26-9D09-C1CE6464D22D}">
  <dimension ref="A1:I143"/>
  <sheetViews>
    <sheetView tabSelected="1" workbookViewId="0">
      <selection activeCell="C11" sqref="C11"/>
    </sheetView>
  </sheetViews>
  <sheetFormatPr baseColWidth="10" defaultRowHeight="12"/>
  <cols>
    <col min="1" max="1" width="2.1640625" style="25" customWidth="1"/>
    <col min="2" max="2" width="35.5" style="25" customWidth="1"/>
    <col min="3" max="3" width="16.6640625" style="61" customWidth="1"/>
    <col min="4" max="4" width="15" style="61" bestFit="1" customWidth="1"/>
    <col min="5" max="5" width="15.33203125" style="62" customWidth="1"/>
    <col min="6" max="6" width="51.6640625" style="63" customWidth="1"/>
    <col min="7" max="7" width="22" style="62" customWidth="1"/>
    <col min="8" max="8" width="12.5" style="62" bestFit="1" customWidth="1"/>
    <col min="9" max="9" width="74.6640625" style="95" customWidth="1"/>
    <col min="10" max="16384" width="12" style="25"/>
  </cols>
  <sheetData>
    <row r="1" spans="1:9" ht="13.5" thickTop="1" thickBot="1">
      <c r="B1" s="26"/>
      <c r="C1" s="27"/>
      <c r="D1" s="27"/>
      <c r="E1" s="28"/>
      <c r="F1" s="69" t="s">
        <v>241</v>
      </c>
      <c r="G1" s="28"/>
      <c r="H1" s="28"/>
      <c r="I1" s="85"/>
    </row>
    <row r="2" spans="1:9" s="29" customFormat="1" ht="37.5" thickTop="1" thickBot="1">
      <c r="A2" s="29" t="s">
        <v>0</v>
      </c>
      <c r="B2" s="30" t="s">
        <v>42</v>
      </c>
      <c r="C2" s="30" t="s">
        <v>38</v>
      </c>
      <c r="D2" s="30" t="s">
        <v>3</v>
      </c>
      <c r="E2" s="30" t="s">
        <v>7</v>
      </c>
      <c r="F2" s="31" t="s">
        <v>37</v>
      </c>
      <c r="G2" s="30" t="s">
        <v>302</v>
      </c>
      <c r="H2" s="30" t="s">
        <v>303</v>
      </c>
      <c r="I2" s="86" t="s">
        <v>2</v>
      </c>
    </row>
    <row r="3" spans="1:9" ht="13.5" thickTop="1" thickBot="1">
      <c r="B3" s="32"/>
      <c r="C3" s="33"/>
      <c r="D3" s="33"/>
      <c r="E3" s="34"/>
      <c r="F3" s="66"/>
      <c r="G3" s="34"/>
      <c r="H3" s="34"/>
      <c r="I3" s="87"/>
    </row>
    <row r="4" spans="1:9" ht="13.5" thickTop="1" thickBot="1">
      <c r="B4" s="35" t="s">
        <v>35</v>
      </c>
      <c r="C4" s="36">
        <f>SUM(C6:C7)</f>
        <v>11</v>
      </c>
      <c r="D4" s="37"/>
      <c r="E4" s="38"/>
      <c r="F4" s="65"/>
      <c r="G4" s="38"/>
      <c r="H4" s="38"/>
      <c r="I4" s="88"/>
    </row>
    <row r="5" spans="1:9" ht="13.5" thickTop="1" thickBot="1">
      <c r="B5" s="39"/>
      <c r="C5" s="40"/>
      <c r="D5" s="40"/>
      <c r="E5" s="41"/>
      <c r="F5" s="67"/>
      <c r="G5" s="41"/>
      <c r="H5" s="41"/>
      <c r="I5" s="89"/>
    </row>
    <row r="6" spans="1:9" ht="12.75" thickBot="1">
      <c r="B6" s="42" t="s">
        <v>46</v>
      </c>
      <c r="C6" s="43">
        <v>9</v>
      </c>
      <c r="D6" s="44" t="s">
        <v>4</v>
      </c>
      <c r="E6" s="75" t="s">
        <v>6</v>
      </c>
      <c r="F6" s="79" t="s">
        <v>19</v>
      </c>
      <c r="G6" s="75"/>
      <c r="H6" s="75"/>
      <c r="I6" s="90" t="s">
        <v>41</v>
      </c>
    </row>
    <row r="7" spans="1:9" ht="12.75" thickBot="1">
      <c r="B7" s="42" t="s">
        <v>47</v>
      </c>
      <c r="C7" s="43">
        <v>2</v>
      </c>
      <c r="D7" s="44" t="s">
        <v>4</v>
      </c>
      <c r="E7" s="75" t="s">
        <v>6</v>
      </c>
      <c r="F7" s="80" t="s">
        <v>301</v>
      </c>
      <c r="G7" s="75"/>
      <c r="H7" s="75"/>
      <c r="I7" s="90"/>
    </row>
    <row r="8" spans="1:9" ht="12.75" thickBot="1">
      <c r="B8" s="42" t="s">
        <v>332</v>
      </c>
      <c r="C8" s="43">
        <v>2</v>
      </c>
      <c r="D8" s="44" t="s">
        <v>4</v>
      </c>
      <c r="E8" s="75" t="s">
        <v>6</v>
      </c>
      <c r="F8" s="80" t="s">
        <v>301</v>
      </c>
      <c r="G8" s="75"/>
      <c r="H8" s="75"/>
      <c r="I8" s="90"/>
    </row>
    <row r="9" spans="1:9" ht="13.5" thickTop="1" thickBot="1">
      <c r="B9" s="48" t="s">
        <v>36</v>
      </c>
      <c r="C9" s="49">
        <f>SUM(C11:C67,C68,C73:C141)</f>
        <v>1447</v>
      </c>
      <c r="D9" s="37"/>
      <c r="E9" s="38"/>
      <c r="F9" s="76"/>
      <c r="G9" s="38"/>
      <c r="H9" s="38"/>
      <c r="I9" s="88"/>
    </row>
    <row r="10" spans="1:9" ht="13.5" thickTop="1" thickBot="1">
      <c r="B10" s="39"/>
      <c r="C10" s="40"/>
      <c r="D10" s="33"/>
      <c r="E10" s="34"/>
      <c r="F10" s="77"/>
      <c r="G10" s="34"/>
      <c r="H10" s="34"/>
      <c r="I10" s="87"/>
    </row>
    <row r="11" spans="1:9" s="81" customFormat="1" ht="49.5" thickTop="1" thickBot="1">
      <c r="B11" s="82" t="s">
        <v>48</v>
      </c>
      <c r="C11" s="108">
        <v>2</v>
      </c>
      <c r="D11" s="70" t="s">
        <v>4</v>
      </c>
      <c r="E11" s="83" t="s">
        <v>296</v>
      </c>
      <c r="F11" s="71" t="s">
        <v>298</v>
      </c>
      <c r="G11" s="83"/>
      <c r="H11" s="83" t="s">
        <v>322</v>
      </c>
      <c r="I11" s="91" t="s">
        <v>297</v>
      </c>
    </row>
    <row r="12" spans="1:9" ht="12.75" thickBot="1">
      <c r="B12" s="50" t="s">
        <v>49</v>
      </c>
      <c r="C12" s="51">
        <v>9</v>
      </c>
      <c r="D12" s="52" t="s">
        <v>4</v>
      </c>
      <c r="E12" s="53" t="s">
        <v>299</v>
      </c>
      <c r="F12" s="55" t="s">
        <v>19</v>
      </c>
      <c r="G12" s="53" t="s">
        <v>304</v>
      </c>
      <c r="H12" s="53"/>
      <c r="I12" s="92" t="s">
        <v>242</v>
      </c>
    </row>
    <row r="13" spans="1:9" ht="72.75" thickBot="1">
      <c r="A13" s="84"/>
      <c r="B13" s="50" t="s">
        <v>50</v>
      </c>
      <c r="C13" s="51">
        <v>2</v>
      </c>
      <c r="D13" s="54" t="s">
        <v>5</v>
      </c>
      <c r="E13" s="78" t="s">
        <v>299</v>
      </c>
      <c r="F13" s="100" t="s">
        <v>318</v>
      </c>
      <c r="G13" s="78" t="s">
        <v>305</v>
      </c>
      <c r="H13" s="78"/>
      <c r="I13" s="94" t="s">
        <v>243</v>
      </c>
    </row>
    <row r="14" spans="1:9" ht="12.75" thickBot="1">
      <c r="B14" s="50" t="s">
        <v>51</v>
      </c>
      <c r="C14" s="51">
        <v>11</v>
      </c>
      <c r="D14" s="56" t="s">
        <v>5</v>
      </c>
      <c r="E14" s="57" t="s">
        <v>299</v>
      </c>
      <c r="F14" s="55" t="s">
        <v>19</v>
      </c>
      <c r="G14" s="57" t="s">
        <v>306</v>
      </c>
      <c r="H14" s="57"/>
      <c r="I14" s="93" t="s">
        <v>244</v>
      </c>
    </row>
    <row r="15" spans="1:9" ht="168.75" thickBot="1">
      <c r="B15" s="50" t="s">
        <v>52</v>
      </c>
      <c r="C15" s="51">
        <v>1</v>
      </c>
      <c r="D15" s="54" t="s">
        <v>5</v>
      </c>
      <c r="E15" s="55" t="s">
        <v>299</v>
      </c>
      <c r="F15" s="101" t="s">
        <v>321</v>
      </c>
      <c r="G15" s="55" t="s">
        <v>319</v>
      </c>
      <c r="H15" s="55"/>
      <c r="I15" s="94" t="s">
        <v>245</v>
      </c>
    </row>
    <row r="16" spans="1:9" ht="12.75" thickBot="1">
      <c r="B16" s="50" t="s">
        <v>53</v>
      </c>
      <c r="C16" s="51">
        <v>11</v>
      </c>
      <c r="D16" s="54" t="s">
        <v>5</v>
      </c>
      <c r="E16" s="55" t="s">
        <v>299</v>
      </c>
      <c r="F16" s="97" t="s">
        <v>19</v>
      </c>
      <c r="G16" s="55" t="s">
        <v>320</v>
      </c>
      <c r="H16" s="55"/>
      <c r="I16" s="94" t="s">
        <v>246</v>
      </c>
    </row>
    <row r="17" spans="2:9" ht="12.75" thickBot="1">
      <c r="B17" s="50" t="s">
        <v>54</v>
      </c>
      <c r="C17" s="51">
        <v>1</v>
      </c>
      <c r="D17" s="54" t="s">
        <v>5</v>
      </c>
      <c r="E17" s="55" t="s">
        <v>299</v>
      </c>
      <c r="F17" s="97" t="s">
        <v>19</v>
      </c>
      <c r="G17" s="55"/>
      <c r="H17" s="55" t="s">
        <v>322</v>
      </c>
      <c r="I17" s="94" t="s">
        <v>247</v>
      </c>
    </row>
    <row r="18" spans="2:9" ht="12.75" thickBot="1">
      <c r="B18" s="58" t="s">
        <v>55</v>
      </c>
      <c r="C18" s="51">
        <v>3</v>
      </c>
      <c r="D18" s="54" t="s">
        <v>4</v>
      </c>
      <c r="E18" s="55" t="s">
        <v>299</v>
      </c>
      <c r="F18" s="97" t="s">
        <v>19</v>
      </c>
      <c r="G18" s="55"/>
      <c r="H18" s="55" t="s">
        <v>322</v>
      </c>
      <c r="I18" s="94" t="s">
        <v>248</v>
      </c>
    </row>
    <row r="19" spans="2:9" ht="12.75" thickBot="1">
      <c r="B19" s="58" t="s">
        <v>56</v>
      </c>
      <c r="C19" s="51">
        <v>80</v>
      </c>
      <c r="D19" s="54" t="s">
        <v>5</v>
      </c>
      <c r="E19" s="55" t="s">
        <v>299</v>
      </c>
      <c r="F19" s="97" t="s">
        <v>19</v>
      </c>
      <c r="G19" s="55" t="s">
        <v>307</v>
      </c>
      <c r="H19" s="55"/>
      <c r="I19" s="94" t="s">
        <v>249</v>
      </c>
    </row>
    <row r="20" spans="2:9" ht="12.75" thickBot="1">
      <c r="B20" s="58" t="s">
        <v>57</v>
      </c>
      <c r="C20" s="51">
        <v>10</v>
      </c>
      <c r="D20" s="54" t="s">
        <v>5</v>
      </c>
      <c r="E20" s="55" t="s">
        <v>299</v>
      </c>
      <c r="F20" s="97" t="s">
        <v>19</v>
      </c>
      <c r="G20" s="55"/>
      <c r="H20" s="55" t="s">
        <v>322</v>
      </c>
      <c r="I20" s="94" t="s">
        <v>250</v>
      </c>
    </row>
    <row r="21" spans="2:9" ht="12.75" thickBot="1">
      <c r="B21" s="58" t="s">
        <v>58</v>
      </c>
      <c r="C21" s="51">
        <v>10</v>
      </c>
      <c r="D21" s="54" t="s">
        <v>5</v>
      </c>
      <c r="E21" s="55" t="s">
        <v>299</v>
      </c>
      <c r="F21" s="54" t="s">
        <v>308</v>
      </c>
      <c r="G21" s="55"/>
      <c r="H21" s="55" t="s">
        <v>322</v>
      </c>
      <c r="I21" s="94" t="s">
        <v>251</v>
      </c>
    </row>
    <row r="22" spans="2:9" ht="12.75" thickBot="1">
      <c r="B22" s="58" t="s">
        <v>59</v>
      </c>
      <c r="C22" s="51">
        <v>10</v>
      </c>
      <c r="D22" s="54" t="s">
        <v>5</v>
      </c>
      <c r="E22" s="55" t="s">
        <v>299</v>
      </c>
      <c r="F22" s="54" t="s">
        <v>308</v>
      </c>
      <c r="G22" s="55"/>
      <c r="H22" s="55" t="s">
        <v>322</v>
      </c>
      <c r="I22" s="94" t="s">
        <v>252</v>
      </c>
    </row>
    <row r="23" spans="2:9" ht="12.75" thickBot="1">
      <c r="B23" s="58" t="s">
        <v>60</v>
      </c>
      <c r="C23" s="51">
        <v>6</v>
      </c>
      <c r="D23" s="54" t="s">
        <v>5</v>
      </c>
      <c r="E23" s="55" t="s">
        <v>299</v>
      </c>
      <c r="F23" s="97" t="s">
        <v>19</v>
      </c>
      <c r="G23" s="55"/>
      <c r="H23" s="55" t="s">
        <v>322</v>
      </c>
      <c r="I23" s="94" t="s">
        <v>253</v>
      </c>
    </row>
    <row r="24" spans="2:9" ht="12.75" thickBot="1">
      <c r="B24" s="58" t="s">
        <v>61</v>
      </c>
      <c r="C24" s="51">
        <v>4</v>
      </c>
      <c r="D24" s="54" t="s">
        <v>4</v>
      </c>
      <c r="E24" s="55" t="s">
        <v>299</v>
      </c>
      <c r="F24" s="97" t="s">
        <v>19</v>
      </c>
      <c r="G24" s="55"/>
      <c r="H24" s="55" t="s">
        <v>322</v>
      </c>
      <c r="I24" s="94" t="s">
        <v>254</v>
      </c>
    </row>
    <row r="25" spans="2:9" ht="12.75" thickBot="1">
      <c r="B25" s="58" t="s">
        <v>62</v>
      </c>
      <c r="C25" s="51">
        <v>3</v>
      </c>
      <c r="D25" s="54" t="s">
        <v>4</v>
      </c>
      <c r="E25" s="55" t="s">
        <v>299</v>
      </c>
      <c r="F25" s="97" t="s">
        <v>19</v>
      </c>
      <c r="G25" s="55"/>
      <c r="H25" s="55" t="s">
        <v>322</v>
      </c>
      <c r="I25" s="94" t="s">
        <v>255</v>
      </c>
    </row>
    <row r="26" spans="2:9" ht="12.75" thickBot="1">
      <c r="B26" s="58" t="s">
        <v>63</v>
      </c>
      <c r="C26" s="51">
        <v>3</v>
      </c>
      <c r="D26" s="54" t="s">
        <v>4</v>
      </c>
      <c r="E26" s="55" t="s">
        <v>299</v>
      </c>
      <c r="F26" s="97" t="s">
        <v>19</v>
      </c>
      <c r="G26" s="55"/>
      <c r="H26" s="55" t="s">
        <v>322</v>
      </c>
      <c r="I26" s="94" t="s">
        <v>256</v>
      </c>
    </row>
    <row r="27" spans="2:9" ht="12.75" thickBot="1">
      <c r="B27" s="58" t="s">
        <v>64</v>
      </c>
      <c r="C27" s="51">
        <v>3</v>
      </c>
      <c r="D27" s="54" t="s">
        <v>4</v>
      </c>
      <c r="E27" s="55" t="s">
        <v>299</v>
      </c>
      <c r="F27" s="97" t="s">
        <v>19</v>
      </c>
      <c r="G27" s="55"/>
      <c r="H27" s="55" t="s">
        <v>322</v>
      </c>
      <c r="I27" s="94" t="s">
        <v>257</v>
      </c>
    </row>
    <row r="28" spans="2:9" ht="12.75" thickBot="1">
      <c r="B28" s="58" t="s">
        <v>65</v>
      </c>
      <c r="C28" s="51">
        <v>1</v>
      </c>
      <c r="D28" s="54" t="s">
        <v>4</v>
      </c>
      <c r="E28" s="55" t="s">
        <v>299</v>
      </c>
      <c r="F28" s="97" t="s">
        <v>19</v>
      </c>
      <c r="G28" s="55"/>
      <c r="H28" s="55" t="s">
        <v>322</v>
      </c>
      <c r="I28" s="94" t="s">
        <v>258</v>
      </c>
    </row>
    <row r="29" spans="2:9" ht="12.75" thickBot="1">
      <c r="B29" s="50" t="s">
        <v>66</v>
      </c>
      <c r="C29" s="51">
        <v>3</v>
      </c>
      <c r="D29" s="54" t="s">
        <v>4</v>
      </c>
      <c r="E29" s="55" t="s">
        <v>299</v>
      </c>
      <c r="F29" s="97" t="s">
        <v>19</v>
      </c>
      <c r="G29" s="55"/>
      <c r="H29" s="55" t="s">
        <v>322</v>
      </c>
      <c r="I29" s="94" t="s">
        <v>259</v>
      </c>
    </row>
    <row r="30" spans="2:9" ht="12.75" thickBot="1">
      <c r="B30" s="58" t="s">
        <v>67</v>
      </c>
      <c r="C30" s="51">
        <v>10</v>
      </c>
      <c r="D30" s="54" t="s">
        <v>5</v>
      </c>
      <c r="E30" s="55" t="s">
        <v>299</v>
      </c>
      <c r="F30" s="54" t="s">
        <v>308</v>
      </c>
      <c r="G30" s="55"/>
      <c r="H30" s="55" t="s">
        <v>322</v>
      </c>
      <c r="I30" s="94"/>
    </row>
    <row r="31" spans="2:9" ht="12.75" thickBot="1">
      <c r="B31" s="50" t="s">
        <v>68</v>
      </c>
      <c r="C31" s="51">
        <v>10</v>
      </c>
      <c r="D31" s="54" t="s">
        <v>5</v>
      </c>
      <c r="E31" s="55" t="s">
        <v>299</v>
      </c>
      <c r="F31" s="54" t="s">
        <v>308</v>
      </c>
      <c r="G31" s="55"/>
      <c r="H31" s="55" t="s">
        <v>322</v>
      </c>
      <c r="I31" s="94" t="s">
        <v>289</v>
      </c>
    </row>
    <row r="32" spans="2:9" ht="54.75" customHeight="1" thickBot="1">
      <c r="B32" s="50" t="s">
        <v>69</v>
      </c>
      <c r="C32" s="51">
        <v>4</v>
      </c>
      <c r="D32" s="54" t="s">
        <v>4</v>
      </c>
      <c r="E32" s="55" t="s">
        <v>299</v>
      </c>
      <c r="F32" s="99" t="s">
        <v>327</v>
      </c>
      <c r="G32" s="55" t="s">
        <v>324</v>
      </c>
      <c r="H32" s="55" t="s">
        <v>323</v>
      </c>
      <c r="I32" s="94" t="s">
        <v>288</v>
      </c>
    </row>
    <row r="33" spans="2:9" ht="12.75" thickBot="1">
      <c r="B33" s="50" t="s">
        <v>70</v>
      </c>
      <c r="C33" s="51">
        <v>1</v>
      </c>
      <c r="D33" s="54" t="s">
        <v>4</v>
      </c>
      <c r="E33" s="55" t="s">
        <v>299</v>
      </c>
      <c r="F33" s="97" t="s">
        <v>19</v>
      </c>
      <c r="G33" s="55"/>
      <c r="H33" s="55" t="s">
        <v>322</v>
      </c>
      <c r="I33" s="94" t="s">
        <v>260</v>
      </c>
    </row>
    <row r="34" spans="2:9" ht="12.75" thickBot="1">
      <c r="B34" s="50" t="s">
        <v>71</v>
      </c>
      <c r="C34" s="51">
        <v>1</v>
      </c>
      <c r="D34" s="54" t="s">
        <v>4</v>
      </c>
      <c r="E34" s="55" t="s">
        <v>299</v>
      </c>
      <c r="F34" s="97" t="s">
        <v>19</v>
      </c>
      <c r="G34" s="55"/>
      <c r="H34" s="55" t="s">
        <v>322</v>
      </c>
      <c r="I34" s="94" t="s">
        <v>261</v>
      </c>
    </row>
    <row r="35" spans="2:9" ht="12.75" thickBot="1">
      <c r="B35" s="50" t="s">
        <v>72</v>
      </c>
      <c r="C35" s="51">
        <v>3</v>
      </c>
      <c r="D35" s="54" t="s">
        <v>4</v>
      </c>
      <c r="E35" s="55" t="s">
        <v>299</v>
      </c>
      <c r="F35" s="97" t="s">
        <v>19</v>
      </c>
      <c r="G35" s="55"/>
      <c r="H35" s="55" t="s">
        <v>322</v>
      </c>
      <c r="I35" s="94" t="s">
        <v>262</v>
      </c>
    </row>
    <row r="36" spans="2:9" ht="12.75" thickBot="1">
      <c r="B36" s="50" t="s">
        <v>73</v>
      </c>
      <c r="C36" s="51">
        <v>10</v>
      </c>
      <c r="D36" s="54" t="s">
        <v>5</v>
      </c>
      <c r="E36" s="55" t="s">
        <v>299</v>
      </c>
      <c r="F36" s="54" t="s">
        <v>308</v>
      </c>
      <c r="G36" s="55"/>
      <c r="H36" s="55" t="s">
        <v>322</v>
      </c>
      <c r="I36" s="94" t="s">
        <v>263</v>
      </c>
    </row>
    <row r="37" spans="2:9" ht="12.75" thickBot="1">
      <c r="B37" s="50" t="s">
        <v>74</v>
      </c>
      <c r="C37" s="51">
        <v>5</v>
      </c>
      <c r="D37" s="54" t="s">
        <v>4</v>
      </c>
      <c r="E37" s="55" t="s">
        <v>299</v>
      </c>
      <c r="F37" s="97" t="s">
        <v>19</v>
      </c>
      <c r="G37" s="55"/>
      <c r="H37" s="55" t="s">
        <v>322</v>
      </c>
      <c r="I37" s="94" t="s">
        <v>264</v>
      </c>
    </row>
    <row r="38" spans="2:9" ht="12.75" thickBot="1">
      <c r="B38" s="50" t="s">
        <v>75</v>
      </c>
      <c r="C38" s="51">
        <v>10</v>
      </c>
      <c r="D38" s="54" t="s">
        <v>5</v>
      </c>
      <c r="E38" s="55" t="s">
        <v>299</v>
      </c>
      <c r="F38" s="54" t="s">
        <v>308</v>
      </c>
      <c r="G38" s="55"/>
      <c r="H38" s="55" t="s">
        <v>322</v>
      </c>
      <c r="I38" s="94" t="s">
        <v>265</v>
      </c>
    </row>
    <row r="39" spans="2:9" ht="12.75" thickBot="1">
      <c r="B39" s="50" t="s">
        <v>76</v>
      </c>
      <c r="C39" s="51">
        <v>5</v>
      </c>
      <c r="D39" s="54" t="s">
        <v>4</v>
      </c>
      <c r="E39" s="55" t="s">
        <v>299</v>
      </c>
      <c r="F39" s="97" t="s">
        <v>19</v>
      </c>
      <c r="G39" s="55"/>
      <c r="H39" s="55" t="s">
        <v>322</v>
      </c>
      <c r="I39" s="94" t="s">
        <v>266</v>
      </c>
    </row>
    <row r="40" spans="2:9" ht="12.75" thickBot="1">
      <c r="B40" s="50" t="s">
        <v>77</v>
      </c>
      <c r="C40" s="51">
        <v>5</v>
      </c>
      <c r="D40" s="54" t="s">
        <v>4</v>
      </c>
      <c r="E40" s="55" t="s">
        <v>299</v>
      </c>
      <c r="F40" s="97" t="s">
        <v>19</v>
      </c>
      <c r="G40" s="55" t="s">
        <v>309</v>
      </c>
      <c r="H40" s="55"/>
      <c r="I40" s="94" t="s">
        <v>267</v>
      </c>
    </row>
    <row r="41" spans="2:9" ht="12.75" thickBot="1">
      <c r="B41" s="50" t="s">
        <v>78</v>
      </c>
      <c r="C41" s="51">
        <v>3</v>
      </c>
      <c r="D41" s="54" t="s">
        <v>4</v>
      </c>
      <c r="E41" s="55" t="s">
        <v>299</v>
      </c>
      <c r="F41" s="97" t="s">
        <v>19</v>
      </c>
      <c r="G41" s="55"/>
      <c r="H41" s="55" t="s">
        <v>322</v>
      </c>
      <c r="I41" s="94" t="s">
        <v>268</v>
      </c>
    </row>
    <row r="42" spans="2:9" ht="12.75" thickBot="1">
      <c r="B42" s="50" t="s">
        <v>79</v>
      </c>
      <c r="C42" s="51">
        <v>7</v>
      </c>
      <c r="D42" s="54" t="s">
        <v>4</v>
      </c>
      <c r="E42" s="55" t="s">
        <v>299</v>
      </c>
      <c r="F42" s="97" t="s">
        <v>19</v>
      </c>
      <c r="G42" s="55"/>
      <c r="H42" s="55" t="s">
        <v>322</v>
      </c>
      <c r="I42" s="94" t="s">
        <v>269</v>
      </c>
    </row>
    <row r="43" spans="2:9" ht="12.75" thickBot="1">
      <c r="B43" s="50" t="s">
        <v>80</v>
      </c>
      <c r="C43" s="51">
        <v>3</v>
      </c>
      <c r="D43" s="54" t="s">
        <v>4</v>
      </c>
      <c r="E43" s="55" t="s">
        <v>299</v>
      </c>
      <c r="F43" s="97" t="s">
        <v>19</v>
      </c>
      <c r="G43" s="55"/>
      <c r="H43" s="55" t="s">
        <v>322</v>
      </c>
      <c r="I43" s="94" t="s">
        <v>270</v>
      </c>
    </row>
    <row r="44" spans="2:9" ht="12.75" thickBot="1">
      <c r="B44" s="50" t="s">
        <v>81</v>
      </c>
      <c r="C44" s="51">
        <v>1</v>
      </c>
      <c r="D44" s="54" t="s">
        <v>5</v>
      </c>
      <c r="E44" s="55" t="s">
        <v>299</v>
      </c>
      <c r="F44" s="97" t="s">
        <v>19</v>
      </c>
      <c r="G44" s="55"/>
      <c r="H44" s="55" t="s">
        <v>322</v>
      </c>
      <c r="I44" s="94" t="s">
        <v>271</v>
      </c>
    </row>
    <row r="45" spans="2:9" ht="12.75" thickBot="1">
      <c r="B45" s="50" t="s">
        <v>82</v>
      </c>
      <c r="C45" s="51">
        <v>1</v>
      </c>
      <c r="D45" s="54" t="s">
        <v>5</v>
      </c>
      <c r="E45" s="55" t="s">
        <v>299</v>
      </c>
      <c r="F45" s="97" t="s">
        <v>19</v>
      </c>
      <c r="G45" s="55"/>
      <c r="H45" s="55" t="s">
        <v>322</v>
      </c>
      <c r="I45" s="94" t="s">
        <v>272</v>
      </c>
    </row>
    <row r="46" spans="2:9" ht="12.75" thickBot="1">
      <c r="B46" s="50" t="s">
        <v>83</v>
      </c>
      <c r="C46" s="51">
        <v>1</v>
      </c>
      <c r="D46" s="54" t="s">
        <v>5</v>
      </c>
      <c r="E46" s="55" t="s">
        <v>299</v>
      </c>
      <c r="F46" s="97" t="s">
        <v>19</v>
      </c>
      <c r="G46" s="55"/>
      <c r="H46" s="55" t="s">
        <v>322</v>
      </c>
      <c r="I46" s="94" t="s">
        <v>273</v>
      </c>
    </row>
    <row r="47" spans="2:9" ht="12.75" thickBot="1">
      <c r="B47" s="50" t="s">
        <v>84</v>
      </c>
      <c r="C47" s="51">
        <v>1</v>
      </c>
      <c r="D47" s="54" t="s">
        <v>5</v>
      </c>
      <c r="E47" s="55" t="s">
        <v>299</v>
      </c>
      <c r="F47" s="97" t="s">
        <v>19</v>
      </c>
      <c r="G47" s="55"/>
      <c r="H47" s="55" t="s">
        <v>322</v>
      </c>
      <c r="I47" s="94" t="s">
        <v>274</v>
      </c>
    </row>
    <row r="48" spans="2:9" ht="12.75" thickBot="1">
      <c r="B48" s="50" t="s">
        <v>85</v>
      </c>
      <c r="C48" s="51">
        <v>1</v>
      </c>
      <c r="D48" s="54" t="s">
        <v>5</v>
      </c>
      <c r="E48" s="55" t="s">
        <v>299</v>
      </c>
      <c r="F48" s="97" t="s">
        <v>19</v>
      </c>
      <c r="G48" s="55"/>
      <c r="H48" s="55" t="s">
        <v>322</v>
      </c>
      <c r="I48" s="94" t="s">
        <v>275</v>
      </c>
    </row>
    <row r="49" spans="2:9" ht="12.75" thickBot="1">
      <c r="B49" s="50" t="s">
        <v>86</v>
      </c>
      <c r="C49" s="51">
        <v>1</v>
      </c>
      <c r="D49" s="54" t="s">
        <v>5</v>
      </c>
      <c r="E49" s="55" t="s">
        <v>299</v>
      </c>
      <c r="F49" s="97" t="s">
        <v>19</v>
      </c>
      <c r="G49" s="55"/>
      <c r="H49" s="55" t="s">
        <v>322</v>
      </c>
      <c r="I49" s="94" t="s">
        <v>276</v>
      </c>
    </row>
    <row r="50" spans="2:9" ht="12.75" thickBot="1">
      <c r="B50" s="50" t="s">
        <v>87</v>
      </c>
      <c r="C50" s="51">
        <v>1</v>
      </c>
      <c r="D50" s="54" t="s">
        <v>5</v>
      </c>
      <c r="E50" s="55" t="s">
        <v>299</v>
      </c>
      <c r="F50" s="97" t="s">
        <v>19</v>
      </c>
      <c r="G50" s="55"/>
      <c r="H50" s="55" t="s">
        <v>322</v>
      </c>
      <c r="I50" s="94" t="s">
        <v>277</v>
      </c>
    </row>
    <row r="51" spans="2:9" ht="12.75" thickBot="1">
      <c r="B51" s="50" t="s">
        <v>88</v>
      </c>
      <c r="C51" s="51">
        <v>1</v>
      </c>
      <c r="D51" s="54" t="s">
        <v>5</v>
      </c>
      <c r="E51" s="55" t="s">
        <v>299</v>
      </c>
      <c r="F51" s="97" t="s">
        <v>19</v>
      </c>
      <c r="G51" s="55"/>
      <c r="H51" s="55" t="s">
        <v>322</v>
      </c>
      <c r="I51" s="94" t="s">
        <v>278</v>
      </c>
    </row>
    <row r="52" spans="2:9" ht="12.75" thickBot="1">
      <c r="B52" s="50" t="s">
        <v>89</v>
      </c>
      <c r="C52" s="51">
        <v>1</v>
      </c>
      <c r="D52" s="54" t="s">
        <v>5</v>
      </c>
      <c r="E52" s="55" t="s">
        <v>299</v>
      </c>
      <c r="F52" s="97" t="s">
        <v>19</v>
      </c>
      <c r="G52" s="55"/>
      <c r="H52" s="55" t="s">
        <v>322</v>
      </c>
      <c r="I52" s="94" t="s">
        <v>279</v>
      </c>
    </row>
    <row r="53" spans="2:9" ht="12.75" thickBot="1">
      <c r="B53" s="50" t="s">
        <v>90</v>
      </c>
      <c r="C53" s="51">
        <v>1</v>
      </c>
      <c r="D53" s="54" t="s">
        <v>5</v>
      </c>
      <c r="E53" s="55" t="s">
        <v>299</v>
      </c>
      <c r="F53" s="97" t="s">
        <v>19</v>
      </c>
      <c r="G53" s="55"/>
      <c r="H53" s="55" t="s">
        <v>322</v>
      </c>
      <c r="I53" s="94" t="s">
        <v>280</v>
      </c>
    </row>
    <row r="54" spans="2:9" ht="12.75" thickBot="1">
      <c r="B54" s="50" t="s">
        <v>91</v>
      </c>
      <c r="C54" s="51">
        <v>1</v>
      </c>
      <c r="D54" s="54" t="s">
        <v>5</v>
      </c>
      <c r="E54" s="55" t="s">
        <v>299</v>
      </c>
      <c r="F54" s="97" t="s">
        <v>19</v>
      </c>
      <c r="G54" s="55"/>
      <c r="H54" s="55" t="s">
        <v>322</v>
      </c>
      <c r="I54" s="94" t="s">
        <v>281</v>
      </c>
    </row>
    <row r="55" spans="2:9" ht="12.75" thickBot="1">
      <c r="B55" s="50" t="s">
        <v>92</v>
      </c>
      <c r="C55" s="51">
        <v>3</v>
      </c>
      <c r="D55" s="54" t="s">
        <v>4</v>
      </c>
      <c r="E55" s="55" t="s">
        <v>299</v>
      </c>
      <c r="F55" s="97" t="s">
        <v>19</v>
      </c>
      <c r="G55" s="55"/>
      <c r="H55" s="55" t="s">
        <v>322</v>
      </c>
      <c r="I55" s="94" t="s">
        <v>290</v>
      </c>
    </row>
    <row r="56" spans="2:9" ht="12.75" thickBot="1">
      <c r="B56" s="50" t="s">
        <v>93</v>
      </c>
      <c r="C56" s="51">
        <v>9</v>
      </c>
      <c r="D56" s="54" t="s">
        <v>5</v>
      </c>
      <c r="E56" s="55" t="s">
        <v>299</v>
      </c>
      <c r="F56" s="97" t="s">
        <v>19</v>
      </c>
      <c r="G56" s="55"/>
      <c r="H56" s="55" t="s">
        <v>322</v>
      </c>
      <c r="I56" s="94" t="s">
        <v>291</v>
      </c>
    </row>
    <row r="57" spans="2:9" ht="12.75" thickBot="1">
      <c r="B57" s="50" t="s">
        <v>94</v>
      </c>
      <c r="C57" s="51">
        <v>12</v>
      </c>
      <c r="D57" s="54" t="s">
        <v>5</v>
      </c>
      <c r="E57" s="55" t="s">
        <v>299</v>
      </c>
      <c r="F57" s="97" t="s">
        <v>19</v>
      </c>
      <c r="G57" s="55"/>
      <c r="H57" s="55" t="s">
        <v>322</v>
      </c>
      <c r="I57" s="94" t="s">
        <v>292</v>
      </c>
    </row>
    <row r="58" spans="2:9" ht="12.75" thickBot="1">
      <c r="B58" s="50" t="s">
        <v>95</v>
      </c>
      <c r="C58" s="51">
        <v>4</v>
      </c>
      <c r="D58" s="54" t="s">
        <v>5</v>
      </c>
      <c r="E58" s="55" t="s">
        <v>299</v>
      </c>
      <c r="F58" s="97" t="s">
        <v>19</v>
      </c>
      <c r="G58" s="55"/>
      <c r="H58" s="55" t="s">
        <v>322</v>
      </c>
      <c r="I58" s="94" t="s">
        <v>293</v>
      </c>
    </row>
    <row r="59" spans="2:9" ht="12.75" thickBot="1">
      <c r="B59" s="50" t="s">
        <v>96</v>
      </c>
      <c r="C59" s="51">
        <v>250</v>
      </c>
      <c r="D59" s="54" t="s">
        <v>5</v>
      </c>
      <c r="E59" s="55" t="s">
        <v>299</v>
      </c>
      <c r="F59" s="97" t="s">
        <v>19</v>
      </c>
      <c r="G59" s="55"/>
      <c r="H59" s="55" t="s">
        <v>322</v>
      </c>
      <c r="I59" s="94" t="s">
        <v>294</v>
      </c>
    </row>
    <row r="60" spans="2:9" ht="12.75" thickBot="1">
      <c r="B60" s="50" t="s">
        <v>97</v>
      </c>
      <c r="C60" s="51">
        <v>1</v>
      </c>
      <c r="D60" s="54" t="s">
        <v>5</v>
      </c>
      <c r="E60" s="55" t="s">
        <v>299</v>
      </c>
      <c r="F60" s="97" t="s">
        <v>19</v>
      </c>
      <c r="G60" s="55"/>
      <c r="H60" s="55" t="s">
        <v>322</v>
      </c>
      <c r="I60" s="94" t="s">
        <v>295</v>
      </c>
    </row>
    <row r="61" spans="2:9" ht="12.75" thickBot="1">
      <c r="B61" s="50" t="s">
        <v>98</v>
      </c>
      <c r="C61" s="51">
        <v>3</v>
      </c>
      <c r="D61" s="54" t="s">
        <v>4</v>
      </c>
      <c r="E61" s="55" t="s">
        <v>299</v>
      </c>
      <c r="F61" s="97" t="s">
        <v>19</v>
      </c>
      <c r="G61" s="55"/>
      <c r="H61" s="55" t="s">
        <v>322</v>
      </c>
      <c r="I61" s="94" t="s">
        <v>282</v>
      </c>
    </row>
    <row r="62" spans="2:9" ht="12.75" thickBot="1">
      <c r="B62" s="50" t="s">
        <v>99</v>
      </c>
      <c r="C62" s="51">
        <v>1</v>
      </c>
      <c r="D62" s="54" t="s">
        <v>4</v>
      </c>
      <c r="E62" s="55" t="s">
        <v>299</v>
      </c>
      <c r="F62" s="97" t="s">
        <v>19</v>
      </c>
      <c r="G62" s="55"/>
      <c r="H62" s="55" t="s">
        <v>322</v>
      </c>
      <c r="I62" s="94" t="s">
        <v>283</v>
      </c>
    </row>
    <row r="63" spans="2:9" ht="12.75" thickBot="1">
      <c r="B63" s="50" t="s">
        <v>100</v>
      </c>
      <c r="C63" s="51">
        <v>1</v>
      </c>
      <c r="D63" s="54" t="s">
        <v>4</v>
      </c>
      <c r="E63" s="55" t="s">
        <v>299</v>
      </c>
      <c r="F63" s="97" t="s">
        <v>19</v>
      </c>
      <c r="G63" s="55"/>
      <c r="H63" s="55" t="s">
        <v>322</v>
      </c>
      <c r="I63" s="94" t="s">
        <v>284</v>
      </c>
    </row>
    <row r="64" spans="2:9" ht="12.75" thickBot="1">
      <c r="B64" s="50" t="s">
        <v>101</v>
      </c>
      <c r="C64" s="51">
        <v>1</v>
      </c>
      <c r="D64" s="54" t="s">
        <v>4</v>
      </c>
      <c r="E64" s="55" t="s">
        <v>299</v>
      </c>
      <c r="F64" s="97" t="s">
        <v>19</v>
      </c>
      <c r="G64" s="55"/>
      <c r="H64" s="55" t="s">
        <v>322</v>
      </c>
      <c r="I64" s="94" t="s">
        <v>285</v>
      </c>
    </row>
    <row r="65" spans="2:9" ht="12.75" thickBot="1">
      <c r="B65" s="50" t="s">
        <v>102</v>
      </c>
      <c r="C65" s="51">
        <v>3</v>
      </c>
      <c r="D65" s="54" t="s">
        <v>4</v>
      </c>
      <c r="E65" s="55" t="s">
        <v>299</v>
      </c>
      <c r="F65" s="97" t="s">
        <v>19</v>
      </c>
      <c r="G65" s="55"/>
      <c r="H65" s="55" t="s">
        <v>322</v>
      </c>
      <c r="I65" s="94" t="s">
        <v>286</v>
      </c>
    </row>
    <row r="66" spans="2:9" ht="12.75" thickBot="1">
      <c r="B66" s="50" t="s">
        <v>103</v>
      </c>
      <c r="C66" s="51">
        <v>3</v>
      </c>
      <c r="D66" s="54" t="s">
        <v>4</v>
      </c>
      <c r="E66" s="55" t="s">
        <v>299</v>
      </c>
      <c r="F66" s="97" t="s">
        <v>19</v>
      </c>
      <c r="G66" s="55"/>
      <c r="H66" s="55" t="s">
        <v>322</v>
      </c>
      <c r="I66" s="94" t="s">
        <v>287</v>
      </c>
    </row>
    <row r="67" spans="2:9" ht="12.75" thickBot="1">
      <c r="B67" s="50" t="s">
        <v>104</v>
      </c>
      <c r="C67" s="51">
        <v>1</v>
      </c>
      <c r="D67" s="54" t="s">
        <v>5</v>
      </c>
      <c r="E67" s="55" t="s">
        <v>299</v>
      </c>
      <c r="F67" s="98" t="s">
        <v>19</v>
      </c>
      <c r="G67" s="55"/>
      <c r="H67" s="55" t="s">
        <v>322</v>
      </c>
      <c r="I67" s="94"/>
    </row>
    <row r="68" spans="2:9" ht="13.5" thickTop="1" thickBot="1">
      <c r="B68" s="59" t="s">
        <v>43</v>
      </c>
      <c r="C68" s="64">
        <f>(C69+C70+C71)*6</f>
        <v>108</v>
      </c>
      <c r="D68" s="60"/>
      <c r="E68" s="60"/>
      <c r="F68" s="60"/>
      <c r="G68" s="60"/>
      <c r="H68" s="60"/>
      <c r="I68" s="60"/>
    </row>
    <row r="69" spans="2:9" ht="13.5" thickTop="1" thickBot="1">
      <c r="B69" s="50" t="s">
        <v>105</v>
      </c>
      <c r="C69" s="51">
        <v>4</v>
      </c>
      <c r="D69" s="54" t="s">
        <v>4</v>
      </c>
      <c r="E69" s="55" t="s">
        <v>299</v>
      </c>
      <c r="F69" s="96" t="s">
        <v>19</v>
      </c>
      <c r="G69" s="55"/>
      <c r="H69" s="55" t="s">
        <v>322</v>
      </c>
      <c r="I69" s="94"/>
    </row>
    <row r="70" spans="2:9" ht="12.75" thickBot="1">
      <c r="B70" s="50" t="s">
        <v>106</v>
      </c>
      <c r="C70" s="51">
        <v>3</v>
      </c>
      <c r="D70" s="54" t="s">
        <v>4</v>
      </c>
      <c r="E70" s="55" t="s">
        <v>299</v>
      </c>
      <c r="F70" s="97" t="s">
        <v>19</v>
      </c>
      <c r="G70" s="55"/>
      <c r="H70" s="55" t="s">
        <v>322</v>
      </c>
      <c r="I70" s="94"/>
    </row>
    <row r="71" spans="2:9" ht="12.75" thickBot="1">
      <c r="B71" s="50" t="s">
        <v>107</v>
      </c>
      <c r="C71" s="51">
        <v>11</v>
      </c>
      <c r="D71" s="54" t="s">
        <v>4</v>
      </c>
      <c r="E71" s="55" t="s">
        <v>299</v>
      </c>
      <c r="F71" s="98" t="s">
        <v>19</v>
      </c>
      <c r="G71" s="55"/>
      <c r="H71" s="55" t="s">
        <v>322</v>
      </c>
      <c r="I71" s="94"/>
    </row>
    <row r="72" spans="2:9" s="63" customFormat="1" ht="13.5" thickTop="1" thickBot="1">
      <c r="B72" s="105" t="s">
        <v>44</v>
      </c>
      <c r="C72" s="106"/>
      <c r="D72" s="107"/>
      <c r="E72" s="107"/>
      <c r="F72" s="107"/>
      <c r="G72" s="65"/>
      <c r="H72" s="65"/>
      <c r="I72" s="65"/>
    </row>
    <row r="73" spans="2:9" ht="13.5" thickTop="1" thickBot="1">
      <c r="B73" s="50" t="s">
        <v>108</v>
      </c>
      <c r="C73" s="51">
        <v>4</v>
      </c>
      <c r="D73" s="54" t="s">
        <v>4</v>
      </c>
      <c r="E73" s="55" t="s">
        <v>299</v>
      </c>
      <c r="F73" s="96" t="s">
        <v>19</v>
      </c>
      <c r="G73" s="55" t="s">
        <v>310</v>
      </c>
      <c r="H73" s="55"/>
      <c r="I73" s="94" t="s">
        <v>174</v>
      </c>
    </row>
    <row r="74" spans="2:9" ht="12.75" thickBot="1">
      <c r="B74" s="50" t="s">
        <v>109</v>
      </c>
      <c r="C74" s="51">
        <v>2</v>
      </c>
      <c r="D74" s="54" t="s">
        <v>4</v>
      </c>
      <c r="E74" s="55" t="s">
        <v>299</v>
      </c>
      <c r="F74" s="97" t="s">
        <v>19</v>
      </c>
      <c r="G74" s="55" t="s">
        <v>311</v>
      </c>
      <c r="H74" s="55"/>
      <c r="I74" s="94" t="s">
        <v>175</v>
      </c>
    </row>
    <row r="75" spans="2:9" ht="12.75" thickBot="1">
      <c r="B75" s="50" t="s">
        <v>110</v>
      </c>
      <c r="C75" s="51">
        <v>2</v>
      </c>
      <c r="D75" s="54" t="s">
        <v>4</v>
      </c>
      <c r="E75" s="55" t="s">
        <v>299</v>
      </c>
      <c r="F75" s="97" t="s">
        <v>19</v>
      </c>
      <c r="G75" s="55" t="s">
        <v>312</v>
      </c>
      <c r="H75" s="55"/>
      <c r="I75" s="94" t="s">
        <v>176</v>
      </c>
    </row>
    <row r="76" spans="2:9" ht="12.75" thickBot="1">
      <c r="B76" s="50" t="s">
        <v>111</v>
      </c>
      <c r="C76" s="51">
        <v>4</v>
      </c>
      <c r="D76" s="54" t="s">
        <v>4</v>
      </c>
      <c r="E76" s="55" t="s">
        <v>299</v>
      </c>
      <c r="F76" s="97" t="s">
        <v>19</v>
      </c>
      <c r="G76" s="55"/>
      <c r="H76" s="55" t="s">
        <v>322</v>
      </c>
      <c r="I76" s="94" t="s">
        <v>177</v>
      </c>
    </row>
    <row r="77" spans="2:9" ht="12.75" thickBot="1">
      <c r="B77" s="50" t="s">
        <v>112</v>
      </c>
      <c r="C77" s="51">
        <v>2</v>
      </c>
      <c r="D77" s="54" t="s">
        <v>4</v>
      </c>
      <c r="E77" s="55" t="s">
        <v>299</v>
      </c>
      <c r="F77" s="97" t="s">
        <v>19</v>
      </c>
      <c r="G77" s="55"/>
      <c r="H77" s="55" t="s">
        <v>322</v>
      </c>
      <c r="I77" s="94" t="s">
        <v>178</v>
      </c>
    </row>
    <row r="78" spans="2:9" ht="12.75" thickBot="1">
      <c r="B78" s="50" t="s">
        <v>113</v>
      </c>
      <c r="C78" s="51">
        <v>2</v>
      </c>
      <c r="D78" s="54" t="s">
        <v>4</v>
      </c>
      <c r="E78" s="55" t="s">
        <v>299</v>
      </c>
      <c r="F78" s="97" t="s">
        <v>19</v>
      </c>
      <c r="G78" s="55"/>
      <c r="H78" s="55" t="s">
        <v>322</v>
      </c>
      <c r="I78" s="94" t="s">
        <v>179</v>
      </c>
    </row>
    <row r="79" spans="2:9" ht="12.75" thickBot="1">
      <c r="B79" s="50" t="s">
        <v>114</v>
      </c>
      <c r="C79" s="51">
        <v>9</v>
      </c>
      <c r="D79" s="54" t="s">
        <v>4</v>
      </c>
      <c r="E79" s="55" t="s">
        <v>299</v>
      </c>
      <c r="F79" s="97" t="s">
        <v>19</v>
      </c>
      <c r="G79" s="55"/>
      <c r="H79" s="55" t="s">
        <v>322</v>
      </c>
      <c r="I79" s="94" t="s">
        <v>180</v>
      </c>
    </row>
    <row r="80" spans="2:9" ht="48.75" thickBot="1">
      <c r="B80" s="50" t="s">
        <v>115</v>
      </c>
      <c r="C80" s="51">
        <v>1</v>
      </c>
      <c r="D80" s="54" t="s">
        <v>4</v>
      </c>
      <c r="E80" s="55" t="s">
        <v>299</v>
      </c>
      <c r="F80" s="99" t="s">
        <v>325</v>
      </c>
      <c r="G80" s="55"/>
      <c r="H80" s="55" t="s">
        <v>322</v>
      </c>
      <c r="I80" s="94" t="s">
        <v>181</v>
      </c>
    </row>
    <row r="81" spans="2:9" ht="96.75" thickBot="1">
      <c r="B81" s="50" t="s">
        <v>116</v>
      </c>
      <c r="C81" s="51">
        <v>1</v>
      </c>
      <c r="D81" s="54" t="s">
        <v>4</v>
      </c>
      <c r="E81" s="55" t="s">
        <v>299</v>
      </c>
      <c r="F81" s="99" t="s">
        <v>316</v>
      </c>
      <c r="G81" s="55" t="s">
        <v>313</v>
      </c>
      <c r="H81" s="55"/>
      <c r="I81" s="94" t="s">
        <v>182</v>
      </c>
    </row>
    <row r="82" spans="2:9" ht="72.75" thickBot="1">
      <c r="B82" s="50" t="s">
        <v>117</v>
      </c>
      <c r="C82" s="51">
        <v>1</v>
      </c>
      <c r="D82" s="54" t="s">
        <v>4</v>
      </c>
      <c r="E82" s="55" t="s">
        <v>299</v>
      </c>
      <c r="F82" s="99" t="s">
        <v>317</v>
      </c>
      <c r="G82" s="55" t="s">
        <v>314</v>
      </c>
      <c r="H82" s="55"/>
      <c r="I82" s="94" t="s">
        <v>183</v>
      </c>
    </row>
    <row r="83" spans="2:9" ht="12.75" thickBot="1">
      <c r="B83" s="50" t="s">
        <v>118</v>
      </c>
      <c r="C83" s="51">
        <v>3</v>
      </c>
      <c r="D83" s="54" t="s">
        <v>4</v>
      </c>
      <c r="E83" s="55" t="s">
        <v>299</v>
      </c>
      <c r="F83" s="97" t="s">
        <v>19</v>
      </c>
      <c r="G83" s="55"/>
      <c r="H83" s="55" t="s">
        <v>322</v>
      </c>
      <c r="I83" s="94" t="s">
        <v>184</v>
      </c>
    </row>
    <row r="84" spans="2:9" ht="409.6" thickBot="1">
      <c r="B84" s="50" t="s">
        <v>119</v>
      </c>
      <c r="C84" s="51">
        <v>5</v>
      </c>
      <c r="D84" s="54" t="s">
        <v>5</v>
      </c>
      <c r="E84" s="55" t="s">
        <v>299</v>
      </c>
      <c r="F84" s="101" t="s">
        <v>326</v>
      </c>
      <c r="G84" s="55" t="s">
        <v>315</v>
      </c>
      <c r="H84" s="55"/>
      <c r="I84" s="94" t="s">
        <v>185</v>
      </c>
    </row>
    <row r="85" spans="2:9" ht="12.75" thickBot="1">
      <c r="B85" s="50" t="s">
        <v>120</v>
      </c>
      <c r="C85" s="51">
        <v>30</v>
      </c>
      <c r="D85" s="54" t="s">
        <v>5</v>
      </c>
      <c r="E85" s="55" t="s">
        <v>299</v>
      </c>
      <c r="F85" s="97" t="s">
        <v>19</v>
      </c>
      <c r="G85" s="55"/>
      <c r="H85" s="55" t="s">
        <v>322</v>
      </c>
      <c r="I85" s="94" t="s">
        <v>186</v>
      </c>
    </row>
    <row r="86" spans="2:9" ht="12.75" thickBot="1">
      <c r="B86" s="50" t="s">
        <v>121</v>
      </c>
      <c r="C86" s="51">
        <v>1</v>
      </c>
      <c r="D86" s="54" t="s">
        <v>4</v>
      </c>
      <c r="E86" s="55" t="s">
        <v>299</v>
      </c>
      <c r="F86" s="97" t="s">
        <v>19</v>
      </c>
      <c r="G86" s="55"/>
      <c r="H86" s="55" t="s">
        <v>322</v>
      </c>
      <c r="I86" s="94" t="s">
        <v>187</v>
      </c>
    </row>
    <row r="87" spans="2:9" ht="12.75" thickBot="1">
      <c r="B87" s="50" t="s">
        <v>122</v>
      </c>
      <c r="C87" s="51">
        <v>5</v>
      </c>
      <c r="D87" s="54" t="s">
        <v>4</v>
      </c>
      <c r="E87" s="55" t="s">
        <v>299</v>
      </c>
      <c r="F87" s="97" t="s">
        <v>19</v>
      </c>
      <c r="G87" s="55"/>
      <c r="H87" s="55" t="s">
        <v>322</v>
      </c>
      <c r="I87" s="94" t="s">
        <v>188</v>
      </c>
    </row>
    <row r="88" spans="2:9" ht="12.75" thickBot="1">
      <c r="B88" s="50" t="s">
        <v>123</v>
      </c>
      <c r="C88" s="51">
        <v>10</v>
      </c>
      <c r="D88" s="54" t="s">
        <v>5</v>
      </c>
      <c r="E88" s="55" t="s">
        <v>299</v>
      </c>
      <c r="F88" s="97" t="s">
        <v>19</v>
      </c>
      <c r="G88" s="55"/>
      <c r="H88" s="55" t="s">
        <v>322</v>
      </c>
      <c r="I88" s="94" t="s">
        <v>189</v>
      </c>
    </row>
    <row r="89" spans="2:9" ht="12.75" thickBot="1">
      <c r="B89" s="50" t="s">
        <v>124</v>
      </c>
      <c r="C89" s="51">
        <v>3</v>
      </c>
      <c r="D89" s="54" t="s">
        <v>4</v>
      </c>
      <c r="E89" s="55" t="s">
        <v>299</v>
      </c>
      <c r="F89" s="97" t="s">
        <v>19</v>
      </c>
      <c r="G89" s="55"/>
      <c r="H89" s="55" t="s">
        <v>322</v>
      </c>
      <c r="I89" s="94" t="s">
        <v>190</v>
      </c>
    </row>
    <row r="90" spans="2:9" ht="12.75" thickBot="1">
      <c r="B90" s="50" t="s">
        <v>125</v>
      </c>
      <c r="C90" s="51">
        <v>5</v>
      </c>
      <c r="D90" s="54" t="s">
        <v>4</v>
      </c>
      <c r="E90" s="55" t="s">
        <v>299</v>
      </c>
      <c r="F90" s="97" t="s">
        <v>19</v>
      </c>
      <c r="G90" s="55"/>
      <c r="H90" s="55" t="s">
        <v>322</v>
      </c>
      <c r="I90" s="94" t="s">
        <v>191</v>
      </c>
    </row>
    <row r="91" spans="2:9" ht="12.75" thickBot="1">
      <c r="B91" s="50" t="s">
        <v>192</v>
      </c>
      <c r="C91" s="51">
        <v>10</v>
      </c>
      <c r="D91" s="54" t="s">
        <v>5</v>
      </c>
      <c r="E91" s="55" t="s">
        <v>299</v>
      </c>
      <c r="F91" s="97" t="s">
        <v>19</v>
      </c>
      <c r="G91" s="55"/>
      <c r="H91" s="55" t="s">
        <v>322</v>
      </c>
      <c r="I91" s="94" t="s">
        <v>194</v>
      </c>
    </row>
    <row r="92" spans="2:9" ht="12.75" thickBot="1">
      <c r="B92" s="50" t="s">
        <v>193</v>
      </c>
      <c r="C92" s="51">
        <v>10</v>
      </c>
      <c r="D92" s="54" t="s">
        <v>5</v>
      </c>
      <c r="E92" s="55" t="s">
        <v>299</v>
      </c>
      <c r="F92" s="97" t="s">
        <v>19</v>
      </c>
      <c r="G92" s="55"/>
      <c r="H92" s="55" t="s">
        <v>322</v>
      </c>
      <c r="I92" s="94" t="s">
        <v>195</v>
      </c>
    </row>
    <row r="93" spans="2:9" ht="12.75" thickBot="1">
      <c r="B93" s="50" t="s">
        <v>126</v>
      </c>
      <c r="C93" s="51">
        <v>10</v>
      </c>
      <c r="D93" s="54" t="s">
        <v>5</v>
      </c>
      <c r="E93" s="55" t="s">
        <v>299</v>
      </c>
      <c r="F93" s="97" t="s">
        <v>19</v>
      </c>
      <c r="G93" s="55"/>
      <c r="H93" s="55" t="s">
        <v>322</v>
      </c>
      <c r="I93" s="94" t="s">
        <v>196</v>
      </c>
    </row>
    <row r="94" spans="2:9" ht="12.75" thickBot="1">
      <c r="B94" s="50" t="s">
        <v>127</v>
      </c>
      <c r="C94" s="51">
        <v>5</v>
      </c>
      <c r="D94" s="54" t="s">
        <v>4</v>
      </c>
      <c r="E94" s="55" t="s">
        <v>299</v>
      </c>
      <c r="F94" s="97" t="s">
        <v>19</v>
      </c>
      <c r="G94" s="55"/>
      <c r="H94" s="55" t="s">
        <v>322</v>
      </c>
      <c r="I94" s="94" t="s">
        <v>197</v>
      </c>
    </row>
    <row r="95" spans="2:9" ht="12.75" thickBot="1">
      <c r="B95" s="50" t="s">
        <v>128</v>
      </c>
      <c r="C95" s="51">
        <v>10</v>
      </c>
      <c r="D95" s="54" t="s">
        <v>5</v>
      </c>
      <c r="E95" s="55" t="s">
        <v>299</v>
      </c>
      <c r="F95" s="97" t="s">
        <v>19</v>
      </c>
      <c r="G95" s="55"/>
      <c r="H95" s="55" t="s">
        <v>322</v>
      </c>
      <c r="I95" s="94" t="s">
        <v>198</v>
      </c>
    </row>
    <row r="96" spans="2:9" ht="12.75" thickBot="1">
      <c r="B96" s="50" t="s">
        <v>129</v>
      </c>
      <c r="C96" s="51">
        <v>9</v>
      </c>
      <c r="D96" s="54" t="s">
        <v>4</v>
      </c>
      <c r="E96" s="55" t="s">
        <v>299</v>
      </c>
      <c r="F96" s="97" t="s">
        <v>19</v>
      </c>
      <c r="G96" s="55"/>
      <c r="H96" s="55" t="s">
        <v>322</v>
      </c>
      <c r="I96" s="94" t="s">
        <v>199</v>
      </c>
    </row>
    <row r="97" spans="2:9" ht="12.75" thickBot="1">
      <c r="B97" s="50" t="s">
        <v>130</v>
      </c>
      <c r="C97" s="51">
        <v>1</v>
      </c>
      <c r="D97" s="54" t="s">
        <v>4</v>
      </c>
      <c r="E97" s="55" t="s">
        <v>299</v>
      </c>
      <c r="F97" s="97" t="s">
        <v>19</v>
      </c>
      <c r="G97" s="55"/>
      <c r="H97" s="55" t="s">
        <v>322</v>
      </c>
      <c r="I97" s="94" t="s">
        <v>200</v>
      </c>
    </row>
    <row r="98" spans="2:9" ht="12.75" thickBot="1">
      <c r="B98" s="50" t="s">
        <v>131</v>
      </c>
      <c r="C98" s="51">
        <v>10</v>
      </c>
      <c r="D98" s="54" t="s">
        <v>5</v>
      </c>
      <c r="E98" s="55" t="s">
        <v>299</v>
      </c>
      <c r="F98" s="97" t="s">
        <v>19</v>
      </c>
      <c r="G98" s="55"/>
      <c r="H98" s="55" t="s">
        <v>322</v>
      </c>
      <c r="I98" s="94" t="s">
        <v>201</v>
      </c>
    </row>
    <row r="99" spans="2:9" ht="12.75" thickBot="1">
      <c r="B99" s="50" t="s">
        <v>132</v>
      </c>
      <c r="C99" s="51">
        <v>2</v>
      </c>
      <c r="D99" s="54" t="s">
        <v>5</v>
      </c>
      <c r="E99" s="55" t="s">
        <v>299</v>
      </c>
      <c r="F99" s="97" t="s">
        <v>19</v>
      </c>
      <c r="G99" s="55"/>
      <c r="H99" s="55" t="s">
        <v>322</v>
      </c>
      <c r="I99" s="94" t="s">
        <v>202</v>
      </c>
    </row>
    <row r="100" spans="2:9" ht="12.75" thickBot="1">
      <c r="B100" s="50" t="s">
        <v>133</v>
      </c>
      <c r="C100" s="51">
        <v>50</v>
      </c>
      <c r="D100" s="54" t="s">
        <v>5</v>
      </c>
      <c r="E100" s="55" t="s">
        <v>299</v>
      </c>
      <c r="F100" s="97" t="s">
        <v>19</v>
      </c>
      <c r="G100" s="55"/>
      <c r="H100" s="55" t="s">
        <v>322</v>
      </c>
      <c r="I100" s="94" t="s">
        <v>203</v>
      </c>
    </row>
    <row r="101" spans="2:9" ht="12.75" thickBot="1">
      <c r="B101" s="50" t="s">
        <v>134</v>
      </c>
      <c r="C101" s="51">
        <v>7</v>
      </c>
      <c r="D101" s="54" t="s">
        <v>4</v>
      </c>
      <c r="E101" s="55" t="s">
        <v>299</v>
      </c>
      <c r="F101" s="97" t="s">
        <v>19</v>
      </c>
      <c r="G101" s="55"/>
      <c r="H101" s="55" t="s">
        <v>322</v>
      </c>
      <c r="I101" s="94" t="s">
        <v>204</v>
      </c>
    </row>
    <row r="102" spans="2:9" ht="12.75" thickBot="1">
      <c r="B102" s="50" t="s">
        <v>135</v>
      </c>
      <c r="C102" s="51">
        <v>7</v>
      </c>
      <c r="D102" s="54" t="s">
        <v>4</v>
      </c>
      <c r="E102" s="55" t="s">
        <v>299</v>
      </c>
      <c r="F102" s="97" t="s">
        <v>19</v>
      </c>
      <c r="G102" s="55"/>
      <c r="H102" s="55" t="s">
        <v>322</v>
      </c>
      <c r="I102" s="94" t="s">
        <v>205</v>
      </c>
    </row>
    <row r="103" spans="2:9" ht="12.75" thickBot="1">
      <c r="B103" s="50" t="s">
        <v>136</v>
      </c>
      <c r="C103" s="51">
        <v>3</v>
      </c>
      <c r="D103" s="54" t="s">
        <v>5</v>
      </c>
      <c r="E103" s="55" t="s">
        <v>299</v>
      </c>
      <c r="F103" s="97" t="s">
        <v>19</v>
      </c>
      <c r="G103" s="55"/>
      <c r="H103" s="55" t="s">
        <v>322</v>
      </c>
      <c r="I103" s="94" t="s">
        <v>206</v>
      </c>
    </row>
    <row r="104" spans="2:9" ht="12.75" thickBot="1">
      <c r="B104" s="50" t="s">
        <v>137</v>
      </c>
      <c r="C104" s="51">
        <v>2</v>
      </c>
      <c r="D104" s="54" t="s">
        <v>5</v>
      </c>
      <c r="E104" s="55" t="s">
        <v>299</v>
      </c>
      <c r="F104" s="97" t="s">
        <v>19</v>
      </c>
      <c r="G104" s="55"/>
      <c r="H104" s="55" t="s">
        <v>322</v>
      </c>
      <c r="I104" s="94" t="s">
        <v>207</v>
      </c>
    </row>
    <row r="105" spans="2:9" ht="12.75" thickBot="1">
      <c r="B105" s="50" t="s">
        <v>138</v>
      </c>
      <c r="C105" s="51">
        <v>2</v>
      </c>
      <c r="D105" s="54" t="s">
        <v>5</v>
      </c>
      <c r="E105" s="55" t="s">
        <v>299</v>
      </c>
      <c r="F105" s="97" t="s">
        <v>19</v>
      </c>
      <c r="G105" s="55"/>
      <c r="H105" s="55" t="s">
        <v>322</v>
      </c>
      <c r="I105" s="94" t="s">
        <v>208</v>
      </c>
    </row>
    <row r="106" spans="2:9" ht="12.75" thickBot="1">
      <c r="B106" s="50" t="s">
        <v>139</v>
      </c>
      <c r="C106" s="51">
        <v>4</v>
      </c>
      <c r="D106" s="54" t="s">
        <v>5</v>
      </c>
      <c r="E106" s="55" t="s">
        <v>299</v>
      </c>
      <c r="F106" s="97" t="s">
        <v>19</v>
      </c>
      <c r="G106" s="55"/>
      <c r="H106" s="55" t="s">
        <v>322</v>
      </c>
      <c r="I106" s="94" t="s">
        <v>209</v>
      </c>
    </row>
    <row r="107" spans="2:9" ht="12.75" thickBot="1">
      <c r="B107" s="50" t="s">
        <v>140</v>
      </c>
      <c r="C107" s="51">
        <v>4</v>
      </c>
      <c r="D107" s="54" t="s">
        <v>5</v>
      </c>
      <c r="E107" s="55" t="s">
        <v>299</v>
      </c>
      <c r="F107" s="97" t="s">
        <v>19</v>
      </c>
      <c r="G107" s="55"/>
      <c r="H107" s="55" t="s">
        <v>322</v>
      </c>
      <c r="I107" s="94" t="s">
        <v>210</v>
      </c>
    </row>
    <row r="108" spans="2:9" ht="12.75" thickBot="1">
      <c r="B108" s="50" t="s">
        <v>141</v>
      </c>
      <c r="C108" s="51">
        <v>4</v>
      </c>
      <c r="D108" s="54" t="s">
        <v>5</v>
      </c>
      <c r="E108" s="55" t="s">
        <v>299</v>
      </c>
      <c r="F108" s="97" t="s">
        <v>19</v>
      </c>
      <c r="G108" s="55"/>
      <c r="H108" s="55" t="s">
        <v>322</v>
      </c>
      <c r="I108" s="94" t="s">
        <v>211</v>
      </c>
    </row>
    <row r="109" spans="2:9" ht="12.75" thickBot="1">
      <c r="B109" s="50" t="s">
        <v>142</v>
      </c>
      <c r="C109" s="51">
        <v>5</v>
      </c>
      <c r="D109" s="54" t="s">
        <v>5</v>
      </c>
      <c r="E109" s="55" t="s">
        <v>299</v>
      </c>
      <c r="F109" s="97" t="s">
        <v>19</v>
      </c>
      <c r="G109" s="55"/>
      <c r="H109" s="55" t="s">
        <v>322</v>
      </c>
      <c r="I109" s="94" t="s">
        <v>212</v>
      </c>
    </row>
    <row r="110" spans="2:9" ht="12.75" thickBot="1">
      <c r="B110" s="50" t="s">
        <v>143</v>
      </c>
      <c r="C110" s="51">
        <v>2</v>
      </c>
      <c r="D110" s="54" t="s">
        <v>5</v>
      </c>
      <c r="E110" s="55" t="s">
        <v>299</v>
      </c>
      <c r="F110" s="97" t="s">
        <v>19</v>
      </c>
      <c r="G110" s="55"/>
      <c r="H110" s="55" t="s">
        <v>322</v>
      </c>
      <c r="I110" s="94" t="s">
        <v>213</v>
      </c>
    </row>
    <row r="111" spans="2:9" ht="12.75" thickBot="1">
      <c r="B111" s="50" t="s">
        <v>144</v>
      </c>
      <c r="C111" s="51">
        <v>25</v>
      </c>
      <c r="D111" s="54" t="s">
        <v>5</v>
      </c>
      <c r="E111" s="55" t="s">
        <v>299</v>
      </c>
      <c r="F111" s="97" t="s">
        <v>19</v>
      </c>
      <c r="G111" s="55"/>
      <c r="H111" s="55" t="s">
        <v>322</v>
      </c>
      <c r="I111" s="94" t="s">
        <v>214</v>
      </c>
    </row>
    <row r="112" spans="2:9" ht="12.75" thickBot="1">
      <c r="B112" s="50" t="s">
        <v>145</v>
      </c>
      <c r="C112" s="51">
        <v>30</v>
      </c>
      <c r="D112" s="54" t="s">
        <v>5</v>
      </c>
      <c r="E112" s="55" t="s">
        <v>299</v>
      </c>
      <c r="F112" s="97" t="s">
        <v>19</v>
      </c>
      <c r="G112" s="55"/>
      <c r="H112" s="55" t="s">
        <v>322</v>
      </c>
      <c r="I112" s="94" t="s">
        <v>215</v>
      </c>
    </row>
    <row r="113" spans="2:9" ht="12.75" thickBot="1">
      <c r="B113" s="50" t="s">
        <v>146</v>
      </c>
      <c r="C113" s="51">
        <v>4</v>
      </c>
      <c r="D113" s="54" t="s">
        <v>4</v>
      </c>
      <c r="E113" s="55" t="s">
        <v>299</v>
      </c>
      <c r="F113" s="97" t="s">
        <v>19</v>
      </c>
      <c r="G113" s="55"/>
      <c r="H113" s="55" t="s">
        <v>322</v>
      </c>
      <c r="I113" s="94" t="s">
        <v>216</v>
      </c>
    </row>
    <row r="114" spans="2:9" ht="12.75" thickBot="1">
      <c r="B114" s="50" t="s">
        <v>147</v>
      </c>
      <c r="C114" s="51">
        <v>1</v>
      </c>
      <c r="D114" s="54" t="s">
        <v>4</v>
      </c>
      <c r="E114" s="55" t="s">
        <v>299</v>
      </c>
      <c r="F114" s="97" t="s">
        <v>19</v>
      </c>
      <c r="G114" s="55"/>
      <c r="H114" s="55" t="s">
        <v>322</v>
      </c>
      <c r="I114" s="94" t="s">
        <v>217</v>
      </c>
    </row>
    <row r="115" spans="2:9" ht="12.75" thickBot="1">
      <c r="B115" s="50" t="s">
        <v>148</v>
      </c>
      <c r="C115" s="51">
        <v>9</v>
      </c>
      <c r="D115" s="54" t="s">
        <v>4</v>
      </c>
      <c r="E115" s="55" t="s">
        <v>299</v>
      </c>
      <c r="F115" s="97" t="s">
        <v>19</v>
      </c>
      <c r="G115" s="55"/>
      <c r="H115" s="55" t="s">
        <v>322</v>
      </c>
      <c r="I115" s="94" t="s">
        <v>218</v>
      </c>
    </row>
    <row r="116" spans="2:9" ht="12.75" thickBot="1">
      <c r="B116" s="50" t="s">
        <v>149</v>
      </c>
      <c r="C116" s="51">
        <v>8</v>
      </c>
      <c r="D116" s="54" t="s">
        <v>5</v>
      </c>
      <c r="E116" s="55" t="s">
        <v>299</v>
      </c>
      <c r="F116" s="97" t="s">
        <v>19</v>
      </c>
      <c r="G116" s="55"/>
      <c r="H116" s="55" t="s">
        <v>322</v>
      </c>
      <c r="I116" s="94" t="s">
        <v>219</v>
      </c>
    </row>
    <row r="117" spans="2:9" ht="12.75" thickBot="1">
      <c r="B117" s="50" t="s">
        <v>150</v>
      </c>
      <c r="C117" s="51">
        <v>3</v>
      </c>
      <c r="D117" s="54" t="s">
        <v>4</v>
      </c>
      <c r="E117" s="55" t="s">
        <v>299</v>
      </c>
      <c r="F117" s="97" t="s">
        <v>19</v>
      </c>
      <c r="G117" s="55"/>
      <c r="H117" s="55" t="s">
        <v>322</v>
      </c>
      <c r="I117" s="94" t="s">
        <v>220</v>
      </c>
    </row>
    <row r="118" spans="2:9" ht="12.75" thickBot="1">
      <c r="B118" s="50" t="s">
        <v>151</v>
      </c>
      <c r="C118" s="51">
        <v>10</v>
      </c>
      <c r="D118" s="54" t="s">
        <v>5</v>
      </c>
      <c r="E118" s="55" t="s">
        <v>299</v>
      </c>
      <c r="F118" s="97" t="s">
        <v>19</v>
      </c>
      <c r="G118" s="55"/>
      <c r="H118" s="55" t="s">
        <v>322</v>
      </c>
      <c r="I118" s="94" t="s">
        <v>221</v>
      </c>
    </row>
    <row r="119" spans="2:9" ht="12.75" thickBot="1">
      <c r="B119" s="50" t="s">
        <v>152</v>
      </c>
      <c r="C119" s="51">
        <v>6</v>
      </c>
      <c r="D119" s="54" t="s">
        <v>5</v>
      </c>
      <c r="E119" s="55" t="s">
        <v>299</v>
      </c>
      <c r="F119" s="97" t="s">
        <v>19</v>
      </c>
      <c r="G119" s="55"/>
      <c r="H119" s="55" t="s">
        <v>322</v>
      </c>
      <c r="I119" s="94" t="s">
        <v>222</v>
      </c>
    </row>
    <row r="120" spans="2:9" ht="12.75" thickBot="1">
      <c r="B120" s="50" t="s">
        <v>153</v>
      </c>
      <c r="C120" s="51">
        <v>5</v>
      </c>
      <c r="D120" s="54" t="s">
        <v>5</v>
      </c>
      <c r="E120" s="55" t="s">
        <v>299</v>
      </c>
      <c r="F120" s="97" t="s">
        <v>19</v>
      </c>
      <c r="G120" s="55"/>
      <c r="H120" s="55" t="s">
        <v>322</v>
      </c>
      <c r="I120" s="94" t="s">
        <v>223</v>
      </c>
    </row>
    <row r="121" spans="2:9" ht="12.75" thickBot="1">
      <c r="B121" s="50" t="s">
        <v>154</v>
      </c>
      <c r="C121" s="51">
        <v>9</v>
      </c>
      <c r="D121" s="54" t="s">
        <v>4</v>
      </c>
      <c r="E121" s="55" t="s">
        <v>299</v>
      </c>
      <c r="F121" s="97" t="s">
        <v>19</v>
      </c>
      <c r="G121" s="55"/>
      <c r="H121" s="55" t="s">
        <v>322</v>
      </c>
      <c r="I121" s="94" t="s">
        <v>224</v>
      </c>
    </row>
    <row r="122" spans="2:9" ht="12.75" thickBot="1">
      <c r="B122" s="50" t="s">
        <v>155</v>
      </c>
      <c r="C122" s="51">
        <v>3</v>
      </c>
      <c r="D122" s="54" t="s">
        <v>4</v>
      </c>
      <c r="E122" s="55" t="s">
        <v>299</v>
      </c>
      <c r="F122" s="97" t="s">
        <v>19</v>
      </c>
      <c r="G122" s="55"/>
      <c r="H122" s="55" t="s">
        <v>322</v>
      </c>
      <c r="I122" s="94" t="s">
        <v>225</v>
      </c>
    </row>
    <row r="123" spans="2:9" ht="12.75" thickBot="1">
      <c r="B123" s="50" t="s">
        <v>156</v>
      </c>
      <c r="C123" s="51">
        <v>1</v>
      </c>
      <c r="D123" s="54" t="s">
        <v>5</v>
      </c>
      <c r="E123" s="55" t="s">
        <v>299</v>
      </c>
      <c r="F123" s="97" t="s">
        <v>19</v>
      </c>
      <c r="G123" s="55"/>
      <c r="H123" s="55" t="s">
        <v>322</v>
      </c>
      <c r="I123" s="94" t="s">
        <v>226</v>
      </c>
    </row>
    <row r="124" spans="2:9" ht="12.75" thickBot="1">
      <c r="B124" s="50" t="s">
        <v>157</v>
      </c>
      <c r="C124" s="51">
        <v>1</v>
      </c>
      <c r="D124" s="54" t="s">
        <v>5</v>
      </c>
      <c r="E124" s="55" t="s">
        <v>299</v>
      </c>
      <c r="F124" s="97" t="s">
        <v>19</v>
      </c>
      <c r="G124" s="55"/>
      <c r="H124" s="55" t="s">
        <v>322</v>
      </c>
      <c r="I124" s="94" t="s">
        <v>227</v>
      </c>
    </row>
    <row r="125" spans="2:9" ht="12.75" thickBot="1">
      <c r="B125" s="50" t="s">
        <v>158</v>
      </c>
      <c r="C125" s="51">
        <v>1</v>
      </c>
      <c r="D125" s="54" t="s">
        <v>5</v>
      </c>
      <c r="E125" s="55" t="s">
        <v>299</v>
      </c>
      <c r="F125" s="97" t="s">
        <v>19</v>
      </c>
      <c r="G125" s="55"/>
      <c r="H125" s="55" t="s">
        <v>322</v>
      </c>
      <c r="I125" s="94" t="s">
        <v>228</v>
      </c>
    </row>
    <row r="126" spans="2:9" ht="12.75" thickBot="1">
      <c r="B126" s="50" t="s">
        <v>159</v>
      </c>
      <c r="C126" s="51">
        <v>1</v>
      </c>
      <c r="D126" s="54" t="s">
        <v>5</v>
      </c>
      <c r="E126" s="55" t="s">
        <v>299</v>
      </c>
      <c r="F126" s="97" t="s">
        <v>19</v>
      </c>
      <c r="G126" s="55"/>
      <c r="H126" s="55" t="s">
        <v>322</v>
      </c>
      <c r="I126" s="94" t="s">
        <v>229</v>
      </c>
    </row>
    <row r="127" spans="2:9" ht="12.75" thickBot="1">
      <c r="B127" s="50" t="s">
        <v>160</v>
      </c>
      <c r="C127" s="51">
        <v>1</v>
      </c>
      <c r="D127" s="54" t="s">
        <v>5</v>
      </c>
      <c r="E127" s="55" t="s">
        <v>299</v>
      </c>
      <c r="F127" s="97" t="s">
        <v>19</v>
      </c>
      <c r="G127" s="55"/>
      <c r="H127" s="55" t="s">
        <v>322</v>
      </c>
      <c r="I127" s="94" t="s">
        <v>230</v>
      </c>
    </row>
    <row r="128" spans="2:9" ht="12.75" thickBot="1">
      <c r="B128" s="50" t="s">
        <v>161</v>
      </c>
      <c r="C128" s="51">
        <v>1</v>
      </c>
      <c r="D128" s="54" t="s">
        <v>5</v>
      </c>
      <c r="E128" s="55" t="s">
        <v>299</v>
      </c>
      <c r="F128" s="97" t="s">
        <v>19</v>
      </c>
      <c r="G128" s="55"/>
      <c r="H128" s="55" t="s">
        <v>322</v>
      </c>
      <c r="I128" s="94" t="s">
        <v>231</v>
      </c>
    </row>
    <row r="129" spans="2:9" ht="12.75" thickBot="1">
      <c r="B129" s="50" t="s">
        <v>162</v>
      </c>
      <c r="C129" s="51">
        <v>9</v>
      </c>
      <c r="D129" s="54" t="s">
        <v>4</v>
      </c>
      <c r="E129" s="55" t="s">
        <v>299</v>
      </c>
      <c r="F129" s="97" t="s">
        <v>19</v>
      </c>
      <c r="G129" s="55"/>
      <c r="H129" s="55" t="s">
        <v>322</v>
      </c>
      <c r="I129" s="94"/>
    </row>
    <row r="130" spans="2:9" ht="12.75" thickBot="1">
      <c r="B130" s="50" t="s">
        <v>163</v>
      </c>
      <c r="C130" s="51">
        <v>3</v>
      </c>
      <c r="D130" s="54" t="s">
        <v>4</v>
      </c>
      <c r="E130" s="55" t="s">
        <v>299</v>
      </c>
      <c r="F130" s="97" t="s">
        <v>19</v>
      </c>
      <c r="G130" s="55"/>
      <c r="H130" s="55" t="s">
        <v>322</v>
      </c>
      <c r="I130" s="94" t="s">
        <v>232</v>
      </c>
    </row>
    <row r="131" spans="2:9" ht="12.75" thickBot="1">
      <c r="B131" s="50" t="s">
        <v>164</v>
      </c>
      <c r="C131" s="51">
        <v>3</v>
      </c>
      <c r="D131" s="54" t="s">
        <v>4</v>
      </c>
      <c r="E131" s="55" t="s">
        <v>299</v>
      </c>
      <c r="F131" s="97" t="s">
        <v>19</v>
      </c>
      <c r="G131" s="55"/>
      <c r="H131" s="55" t="s">
        <v>322</v>
      </c>
      <c r="I131" s="94" t="s">
        <v>233</v>
      </c>
    </row>
    <row r="132" spans="2:9" ht="12.75" thickBot="1">
      <c r="B132" s="50" t="s">
        <v>165</v>
      </c>
      <c r="C132" s="51">
        <v>10</v>
      </c>
      <c r="D132" s="54" t="s">
        <v>5</v>
      </c>
      <c r="E132" s="55" t="s">
        <v>299</v>
      </c>
      <c r="F132" s="97" t="s">
        <v>19</v>
      </c>
      <c r="G132" s="55"/>
      <c r="H132" s="55" t="s">
        <v>322</v>
      </c>
      <c r="I132" s="94" t="s">
        <v>234</v>
      </c>
    </row>
    <row r="133" spans="2:9" ht="12.75" thickBot="1">
      <c r="B133" s="50" t="s">
        <v>166</v>
      </c>
      <c r="C133" s="51">
        <v>10</v>
      </c>
      <c r="D133" s="54" t="s">
        <v>5</v>
      </c>
      <c r="E133" s="55" t="s">
        <v>299</v>
      </c>
      <c r="F133" s="97" t="s">
        <v>19</v>
      </c>
      <c r="G133" s="55"/>
      <c r="H133" s="55" t="s">
        <v>322</v>
      </c>
      <c r="I133" s="94" t="s">
        <v>235</v>
      </c>
    </row>
    <row r="134" spans="2:9" ht="12.75" thickBot="1">
      <c r="B134" s="50" t="s">
        <v>167</v>
      </c>
      <c r="C134" s="51">
        <v>10</v>
      </c>
      <c r="D134" s="54" t="s">
        <v>5</v>
      </c>
      <c r="E134" s="55" t="s">
        <v>299</v>
      </c>
      <c r="F134" s="97" t="s">
        <v>19</v>
      </c>
      <c r="G134" s="55"/>
      <c r="H134" s="55" t="s">
        <v>322</v>
      </c>
      <c r="I134" s="94" t="s">
        <v>236</v>
      </c>
    </row>
    <row r="135" spans="2:9" ht="12.75" thickBot="1">
      <c r="B135" s="50" t="s">
        <v>168</v>
      </c>
      <c r="C135" s="51">
        <v>3</v>
      </c>
      <c r="D135" s="54" t="s">
        <v>4</v>
      </c>
      <c r="E135" s="55" t="s">
        <v>299</v>
      </c>
      <c r="F135" s="97" t="s">
        <v>19</v>
      </c>
      <c r="G135" s="55"/>
      <c r="H135" s="55" t="s">
        <v>322</v>
      </c>
      <c r="I135" s="94" t="s">
        <v>237</v>
      </c>
    </row>
    <row r="136" spans="2:9" ht="12.75" thickBot="1">
      <c r="B136" s="50" t="s">
        <v>169</v>
      </c>
      <c r="C136" s="51">
        <v>9</v>
      </c>
      <c r="D136" s="54" t="s">
        <v>5</v>
      </c>
      <c r="E136" s="55" t="s">
        <v>299</v>
      </c>
      <c r="F136" s="97" t="s">
        <v>19</v>
      </c>
      <c r="G136" s="55"/>
      <c r="H136" s="55" t="s">
        <v>322</v>
      </c>
      <c r="I136" s="94" t="s">
        <v>238</v>
      </c>
    </row>
    <row r="137" spans="2:9" ht="12.75" thickBot="1">
      <c r="B137" s="50" t="s">
        <v>170</v>
      </c>
      <c r="C137" s="51">
        <v>12</v>
      </c>
      <c r="D137" s="54" t="s">
        <v>5</v>
      </c>
      <c r="E137" s="55" t="s">
        <v>299</v>
      </c>
      <c r="F137" s="97" t="s">
        <v>19</v>
      </c>
      <c r="G137" s="55"/>
      <c r="H137" s="55" t="s">
        <v>322</v>
      </c>
      <c r="I137" s="94" t="s">
        <v>239</v>
      </c>
    </row>
    <row r="138" spans="2:9" ht="12.75" thickBot="1">
      <c r="B138" s="50" t="s">
        <v>171</v>
      </c>
      <c r="C138" s="51">
        <v>9</v>
      </c>
      <c r="D138" s="54" t="s">
        <v>5</v>
      </c>
      <c r="E138" s="55" t="s">
        <v>299</v>
      </c>
      <c r="F138" s="97" t="s">
        <v>19</v>
      </c>
      <c r="G138" s="55"/>
      <c r="H138" s="55" t="s">
        <v>322</v>
      </c>
      <c r="I138" s="94"/>
    </row>
    <row r="139" spans="2:9" ht="12.75" thickBot="1">
      <c r="B139" s="50" t="s">
        <v>172</v>
      </c>
      <c r="C139" s="51">
        <v>12</v>
      </c>
      <c r="D139" s="54" t="s">
        <v>5</v>
      </c>
      <c r="E139" s="55" t="s">
        <v>299</v>
      </c>
      <c r="F139" s="97" t="s">
        <v>19</v>
      </c>
      <c r="G139" s="55"/>
      <c r="H139" s="55" t="s">
        <v>322</v>
      </c>
      <c r="I139" s="94"/>
    </row>
    <row r="140" spans="2:9" ht="12.75" thickBot="1">
      <c r="B140" s="50" t="s">
        <v>173</v>
      </c>
      <c r="C140" s="51">
        <v>250</v>
      </c>
      <c r="D140" s="54" t="s">
        <v>5</v>
      </c>
      <c r="E140" s="55" t="s">
        <v>299</v>
      </c>
      <c r="F140" s="97" t="s">
        <v>19</v>
      </c>
      <c r="G140" s="55"/>
      <c r="H140" s="55" t="s">
        <v>322</v>
      </c>
      <c r="I140" s="94" t="s">
        <v>45</v>
      </c>
    </row>
    <row r="141" spans="2:9" ht="12.75" thickBot="1">
      <c r="B141" s="50" t="s">
        <v>328</v>
      </c>
      <c r="C141" s="51">
        <v>80</v>
      </c>
      <c r="D141" s="54" t="s">
        <v>5</v>
      </c>
      <c r="E141" s="55" t="s">
        <v>299</v>
      </c>
      <c r="F141" s="97" t="s">
        <v>19</v>
      </c>
      <c r="G141" s="55"/>
      <c r="H141" s="55" t="s">
        <v>322</v>
      </c>
      <c r="I141" s="94" t="s">
        <v>329</v>
      </c>
    </row>
    <row r="142" spans="2:9" ht="13.5" thickTop="1" thickBot="1">
      <c r="B142" s="45"/>
      <c r="C142" s="46"/>
      <c r="D142" s="33"/>
      <c r="E142" s="34"/>
      <c r="F142" s="47"/>
      <c r="G142" s="34"/>
      <c r="H142" s="34"/>
      <c r="I142" s="87"/>
    </row>
    <row r="143" spans="2:9" ht="12.75" thickTop="1"/>
  </sheetData>
  <mergeCells count="1">
    <mergeCell ref="B72:F72"/>
  </mergeCells>
  <phoneticPr fontId="0" type="noConversion"/>
  <pageMargins left="0.75" right="0.75" top="1" bottom="1" header="0" footer="0"/>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3B210-0E44-4228-B814-7DC9D8E56E83}">
  <dimension ref="A1:A35"/>
  <sheetViews>
    <sheetView workbookViewId="0">
      <selection sqref="A1:XFD1"/>
    </sheetView>
  </sheetViews>
  <sheetFormatPr baseColWidth="10" defaultRowHeight="10.5"/>
  <sheetData>
    <row r="1" spans="1:1">
      <c r="A1" s="102" t="s">
        <v>331</v>
      </c>
    </row>
    <row r="2" spans="1:1">
      <c r="A2" t="s">
        <v>330</v>
      </c>
    </row>
    <row r="4" spans="1:1" ht="15">
      <c r="A4" s="104"/>
    </row>
    <row r="6" spans="1:1">
      <c r="A6" s="103"/>
    </row>
    <row r="11" spans="1:1">
      <c r="A11" s="103"/>
    </row>
    <row r="16" spans="1:1">
      <c r="A16" s="103"/>
    </row>
    <row r="29" spans="1:1">
      <c r="A29" s="103"/>
    </row>
    <row r="35" spans="1:1">
      <c r="A35" s="10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Cabecera Servicios</vt:lpstr>
      <vt:lpstr>1004</vt:lpstr>
      <vt:lpstr>Ejemplos</vt:lpstr>
    </vt:vector>
  </TitlesOfParts>
  <Company>BIyCSA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P076119</dc:creator>
  <cp:lastModifiedBy>lucas arenaz</cp:lastModifiedBy>
  <dcterms:created xsi:type="dcterms:W3CDTF">2010-04-28T19:59:28Z</dcterms:created>
  <dcterms:modified xsi:type="dcterms:W3CDTF">2025-06-04T04:55:57Z</dcterms:modified>
</cp:coreProperties>
</file>